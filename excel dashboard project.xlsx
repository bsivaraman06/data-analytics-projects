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363458503fa2f230/Desktop/excel/"/>
    </mc:Choice>
  </mc:AlternateContent>
  <xr:revisionPtr revIDLastSave="0" documentId="8_{6245F070-438C-47F0-8555-47A5D6734F87}" xr6:coauthVersionLast="47" xr6:coauthVersionMax="47" xr10:uidLastSave="{00000000-0000-0000-0000-000000000000}"/>
  <bookViews>
    <workbookView xWindow="-120" yWindow="-120" windowWidth="20730" windowHeight="11040" xr2:uid="{A96115EA-249B-4BB5-BA41-033103A70B01}"/>
  </bookViews>
  <sheets>
    <sheet name="dashboard" sheetId="7" r:id="rId1"/>
    <sheet name="Pivot Table Analysis" sheetId="3" r:id="rId2"/>
    <sheet name="Sheet3" sheetId="4" r:id="rId3"/>
    <sheet name="Sheet4" sheetId="5" r:id="rId4"/>
    <sheet name="Sheet5" sheetId="6" r:id="rId5"/>
    <sheet name="Sales Data" sheetId="1" r:id="rId6"/>
  </sheets>
  <definedNames>
    <definedName name="Slicer_Product">#N/A</definedName>
    <definedName name="Slicer_Region">#N/A</definedName>
    <definedName name="Slicer_Sales_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8" i="1" l="1"/>
  <c r="M6" i="1"/>
  <c r="M4" i="1"/>
  <c r="M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2" i="1"/>
</calcChain>
</file>

<file path=xl/sharedStrings.xml><?xml version="1.0" encoding="utf-8"?>
<sst xmlns="http://schemas.openxmlformats.org/spreadsheetml/2006/main" count="455" uniqueCount="117">
  <si>
    <t>Date</t>
  </si>
  <si>
    <t>Region</t>
  </si>
  <si>
    <t>Product</t>
  </si>
  <si>
    <t>2025-01-17</t>
  </si>
  <si>
    <t>Sneha</t>
  </si>
  <si>
    <t>West</t>
  </si>
  <si>
    <t>Mouse</t>
  </si>
  <si>
    <t>2025-01-20</t>
  </si>
  <si>
    <t>Priya</t>
  </si>
  <si>
    <t>Central</t>
  </si>
  <si>
    <t>Tablet</t>
  </si>
  <si>
    <t>2025-01-25</t>
  </si>
  <si>
    <t>South</t>
  </si>
  <si>
    <t>Headphones</t>
  </si>
  <si>
    <t>2025-01-28</t>
  </si>
  <si>
    <t>North</t>
  </si>
  <si>
    <t>2025-01-30</t>
  </si>
  <si>
    <t>Sanjay</t>
  </si>
  <si>
    <t>2025-02-04</t>
  </si>
  <si>
    <t>Divya</t>
  </si>
  <si>
    <t>Smartphone</t>
  </si>
  <si>
    <t>2025-02-06</t>
  </si>
  <si>
    <t>Arun</t>
  </si>
  <si>
    <t>Anitha</t>
  </si>
  <si>
    <t>Printer</t>
  </si>
  <si>
    <t>2025-02-10</t>
  </si>
  <si>
    <t>2025-02-11</t>
  </si>
  <si>
    <t>Vijay</t>
  </si>
  <si>
    <t>Webcam</t>
  </si>
  <si>
    <t>2025-02-17</t>
  </si>
  <si>
    <t>Monitor</t>
  </si>
  <si>
    <t>East</t>
  </si>
  <si>
    <t>Laptop</t>
  </si>
  <si>
    <t>2025-02-25</t>
  </si>
  <si>
    <t>Smartwatch</t>
  </si>
  <si>
    <t>2025-02-27</t>
  </si>
  <si>
    <t>Keyboard</t>
  </si>
  <si>
    <t>2025-02-28</t>
  </si>
  <si>
    <t>2025-03-01</t>
  </si>
  <si>
    <t>Rahul</t>
  </si>
  <si>
    <t>2025-03-07</t>
  </si>
  <si>
    <t>2025-03-13</t>
  </si>
  <si>
    <t>2025-03-25</t>
  </si>
  <si>
    <t>Karthik</t>
  </si>
  <si>
    <t>2025-03-26</t>
  </si>
  <si>
    <t>2025-04-08</t>
  </si>
  <si>
    <t>2025-04-11</t>
  </si>
  <si>
    <t>2025-04-12</t>
  </si>
  <si>
    <t>2025-04-13</t>
  </si>
  <si>
    <t>Meena</t>
  </si>
  <si>
    <t>2025-04-19</t>
  </si>
  <si>
    <t>2025-04-23</t>
  </si>
  <si>
    <t>2025-04-25</t>
  </si>
  <si>
    <t>2025-04-27</t>
  </si>
  <si>
    <t>2025-04-30</t>
  </si>
  <si>
    <t>2025-05-06</t>
  </si>
  <si>
    <t>2025-05-07</t>
  </si>
  <si>
    <t>2025-05-15</t>
  </si>
  <si>
    <t>2025-05-16</t>
  </si>
  <si>
    <t>2025-05-23</t>
  </si>
  <si>
    <t>2025-05-25</t>
  </si>
  <si>
    <t>2025-05-27</t>
  </si>
  <si>
    <t>2025-05-31</t>
  </si>
  <si>
    <t>2025-06-02</t>
  </si>
  <si>
    <t>2025-06-03</t>
  </si>
  <si>
    <t>2025-06-04</t>
  </si>
  <si>
    <t>2025-06-07</t>
  </si>
  <si>
    <t>2025-06-10</t>
  </si>
  <si>
    <t>2025-06-11</t>
  </si>
  <si>
    <t>2025-06-15</t>
  </si>
  <si>
    <t>2025-06-19</t>
  </si>
  <si>
    <t>2025-06-20</t>
  </si>
  <si>
    <t>2025-06-23</t>
  </si>
  <si>
    <t>2025-07-03</t>
  </si>
  <si>
    <t>2025-07-05</t>
  </si>
  <si>
    <t>2025-07-09</t>
  </si>
  <si>
    <t>2025-07-11</t>
  </si>
  <si>
    <t>2025-07-13</t>
  </si>
  <si>
    <t>2025-07-14</t>
  </si>
  <si>
    <t>2025-07-17</t>
  </si>
  <si>
    <t>2025-07-26</t>
  </si>
  <si>
    <t>2025-07-28</t>
  </si>
  <si>
    <t>2025-08-04</t>
  </si>
  <si>
    <t>2025-08-05</t>
  </si>
  <si>
    <t>2025-08-09</t>
  </si>
  <si>
    <t>2025-08-12</t>
  </si>
  <si>
    <t>2025-08-15</t>
  </si>
  <si>
    <t>2025-08-28</t>
  </si>
  <si>
    <t>2025-09-04</t>
  </si>
  <si>
    <t>2025-09-06</t>
  </si>
  <si>
    <t>2025-09-13</t>
  </si>
  <si>
    <t>2025-09-17</t>
  </si>
  <si>
    <t>2025-09-18</t>
  </si>
  <si>
    <t>2025-09-30</t>
  </si>
  <si>
    <t>2025-10-02</t>
  </si>
  <si>
    <t>2025-10-05</t>
  </si>
  <si>
    <t>2025-10-06</t>
  </si>
  <si>
    <t>2025-10-09</t>
  </si>
  <si>
    <t>2025-10-11</t>
  </si>
  <si>
    <t>2025-10-13</t>
  </si>
  <si>
    <t>2025-10-14</t>
  </si>
  <si>
    <t>2025-10-16</t>
  </si>
  <si>
    <t>2025-10-20</t>
  </si>
  <si>
    <t>2025-10-27</t>
  </si>
  <si>
    <t>Sales Person</t>
  </si>
  <si>
    <t>Units Sold</t>
  </si>
  <si>
    <t>Unit Price</t>
  </si>
  <si>
    <t>Cost Of Goods</t>
  </si>
  <si>
    <t>Total Sales</t>
  </si>
  <si>
    <t>Grand Total</t>
  </si>
  <si>
    <t>Unit Sold</t>
  </si>
  <si>
    <t>Total Profit</t>
  </si>
  <si>
    <t>Average Sales</t>
  </si>
  <si>
    <t>Profit</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</si>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</sst>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dd\-mmm\-yyyy"/>
    <numFmt numFmtId="166" formatCode="&quot;₹&quot;.##\.##,&quot;L&quot;"/>
    <numFmt numFmtId="167" formatCode="##\.##,&quot;L&quot;"/>
  </numFmts>
  <fonts count="2" x14ac:knownFonts="1">
    <font>
      <sz val="11"/>
      <color theme="1"/>
      <name val="Aptos Narrow"/>
      <family val="2"/>
      <scheme val="minor"/>
    </font>
    <font>
      <b/>
      <sz val="11"/>
      <color theme="0"/>
      <name val="Calibri"/>
      <family val="2"/>
    </font>
  </fonts>
  <fills count="3">
    <fill>
      <patternFill patternType="none"/>
    </fill>
    <fill>
      <patternFill patternType="gray125"/>
    </fill>
    <fill>
      <patternFill patternType="solid">
        <fgColor theme="4"/>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13">
    <xf numFmtId="0" fontId="0" fillId="0" borderId="0" xfId="0"/>
    <xf numFmtId="164" fontId="0" fillId="0" borderId="0" xfId="0" applyNumberFormat="1"/>
    <xf numFmtId="165"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1" fillId="0" borderId="2" xfId="0" applyFont="1" applyBorder="1" applyAlignment="1">
      <alignment horizontal="center" vertical="center"/>
    </xf>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2" fontId="0" fillId="0" borderId="0" xfId="0" applyNumberFormat="1"/>
  </cellXfs>
  <cellStyles count="1">
    <cellStyle name="Normal" xfId="0" builtinId="0"/>
  </cellStyles>
  <dxfs count="11">
    <dxf>
      <numFmt numFmtId="164" formatCode="&quot;₹&quot;#,##0"/>
    </dxf>
    <dxf>
      <numFmt numFmtId="164" formatCode="&quot;₹&quot;#,##0"/>
      <alignment horizontal="center" vertical="center" textRotation="0" wrapText="0" indent="0" justifyLastLine="0" shrinkToFit="0" readingOrder="0"/>
    </dxf>
    <dxf>
      <numFmt numFmtId="164" formatCode="&quot;₹&quot;#,##0"/>
      <alignment horizontal="center" vertical="center" textRotation="0" wrapText="0" indent="0" justifyLastLine="0" shrinkToFit="0" readingOrder="0"/>
    </dxf>
    <dxf>
      <numFmt numFmtId="164" formatCode="&quot;₹&quot;#,##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dd\-mmm\-yyyy"/>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project.xlsx]Sheet5!PivotTable6</c:name>
    <c:fmtId val="11"/>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Sheet5!$A$4:$A$14</c:f>
              <c:strCache>
                <c:ptCount val="10"/>
                <c:pt idx="0">
                  <c:v>Headphones</c:v>
                </c:pt>
                <c:pt idx="1">
                  <c:v>Keyboard</c:v>
                </c:pt>
                <c:pt idx="2">
                  <c:v>Laptop</c:v>
                </c:pt>
                <c:pt idx="3">
                  <c:v>Monitor</c:v>
                </c:pt>
                <c:pt idx="4">
                  <c:v>Mouse</c:v>
                </c:pt>
                <c:pt idx="5">
                  <c:v>Printer</c:v>
                </c:pt>
                <c:pt idx="6">
                  <c:v>Smartphone</c:v>
                </c:pt>
                <c:pt idx="7">
                  <c:v>Smartwatch</c:v>
                </c:pt>
                <c:pt idx="8">
                  <c:v>Tablet</c:v>
                </c:pt>
                <c:pt idx="9">
                  <c:v>Webcam</c:v>
                </c:pt>
              </c:strCache>
            </c:strRef>
          </c:cat>
          <c:val>
            <c:numRef>
              <c:f>Sheet5!$B$4:$B$14</c:f>
              <c:numCache>
                <c:formatCode>General</c:formatCode>
                <c:ptCount val="10"/>
                <c:pt idx="0">
                  <c:v>144</c:v>
                </c:pt>
                <c:pt idx="1">
                  <c:v>105</c:v>
                </c:pt>
                <c:pt idx="2">
                  <c:v>90</c:v>
                </c:pt>
                <c:pt idx="3">
                  <c:v>69</c:v>
                </c:pt>
                <c:pt idx="4">
                  <c:v>108</c:v>
                </c:pt>
                <c:pt idx="5">
                  <c:v>87</c:v>
                </c:pt>
                <c:pt idx="6">
                  <c:v>181</c:v>
                </c:pt>
                <c:pt idx="7">
                  <c:v>59</c:v>
                </c:pt>
                <c:pt idx="8">
                  <c:v>140</c:v>
                </c:pt>
                <c:pt idx="9">
                  <c:v>79</c:v>
                </c:pt>
              </c:numCache>
            </c:numRef>
          </c:val>
          <c:smooth val="0"/>
          <c:extLst>
            <c:ext xmlns:c16="http://schemas.microsoft.com/office/drawing/2014/chart" uri="{C3380CC4-5D6E-409C-BE32-E72D297353CC}">
              <c16:uniqueId val="{00000000-6267-4D2F-8F7E-618F1FBD2AE7}"/>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08722304"/>
        <c:axId val="1113658640"/>
      </c:lineChart>
      <c:catAx>
        <c:axId val="11087223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13658640"/>
        <c:crosses val="autoZero"/>
        <c:auto val="1"/>
        <c:lblAlgn val="ctr"/>
        <c:lblOffset val="100"/>
        <c:noMultiLvlLbl val="0"/>
      </c:catAx>
      <c:valAx>
        <c:axId val="1113658640"/>
        <c:scaling>
          <c:orientation val="minMax"/>
        </c:scaling>
        <c:delete val="1"/>
        <c:axPos val="l"/>
        <c:numFmt formatCode="General" sourceLinked="1"/>
        <c:majorTickMark val="none"/>
        <c:minorTickMark val="none"/>
        <c:tickLblPos val="nextTo"/>
        <c:crossAx val="110872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6111111111111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88888888888878"/>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77777777777778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4166666666666666"/>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5555555555555558E-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888888888888878"/>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6111111111111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5555555555555558E-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166666666666666"/>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77777777777778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888888888888878"/>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6111111111111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5555555555555558E-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4166666666666666"/>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277777777777778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04-4113-9053-149453A083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04-4113-9053-149453A083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04-4113-9053-149453A083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04-4113-9053-149453A0831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504-4113-9053-149453A08315}"/>
              </c:ext>
            </c:extLst>
          </c:dPt>
          <c:dLbls>
            <c:dLbl>
              <c:idx val="0"/>
              <c:layout>
                <c:manualLayout>
                  <c:x val="0.13888888888888878"/>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04-4113-9053-149453A08315}"/>
                </c:ext>
              </c:extLst>
            </c:dLbl>
            <c:dLbl>
              <c:idx val="1"/>
              <c:layout>
                <c:manualLayout>
                  <c:x val="0.1361111111111111"/>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04-4113-9053-149453A08315}"/>
                </c:ext>
              </c:extLst>
            </c:dLbl>
            <c:dLbl>
              <c:idx val="2"/>
              <c:layout>
                <c:manualLayout>
                  <c:x val="5.5555555555555558E-3"/>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04-4113-9053-149453A08315}"/>
                </c:ext>
              </c:extLst>
            </c:dLbl>
            <c:dLbl>
              <c:idx val="3"/>
              <c:layout>
                <c:manualLayout>
                  <c:x val="-0.14166666666666666"/>
                  <c:y val="3.7037037037036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04-4113-9053-149453A08315}"/>
                </c:ext>
              </c:extLst>
            </c:dLbl>
            <c:dLbl>
              <c:idx val="4"/>
              <c:layout>
                <c:manualLayout>
                  <c:x val="-0.1277777777777778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504-4113-9053-149453A0831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Analysis'!$A$4:$A$9</c:f>
              <c:strCache>
                <c:ptCount val="5"/>
                <c:pt idx="0">
                  <c:v>Central</c:v>
                </c:pt>
                <c:pt idx="1">
                  <c:v>East</c:v>
                </c:pt>
                <c:pt idx="2">
                  <c:v>North</c:v>
                </c:pt>
                <c:pt idx="3">
                  <c:v>South</c:v>
                </c:pt>
                <c:pt idx="4">
                  <c:v>West</c:v>
                </c:pt>
              </c:strCache>
            </c:strRef>
          </c:cat>
          <c:val>
            <c:numRef>
              <c:f>'Pivot Table Analysis'!$B$4:$B$9</c:f>
              <c:numCache>
                <c:formatCode>"₹".##\.##,"L"</c:formatCode>
                <c:ptCount val="5"/>
                <c:pt idx="0">
                  <c:v>3808600</c:v>
                </c:pt>
                <c:pt idx="1">
                  <c:v>1711400</c:v>
                </c:pt>
                <c:pt idx="2">
                  <c:v>2053400</c:v>
                </c:pt>
                <c:pt idx="3">
                  <c:v>3211800</c:v>
                </c:pt>
                <c:pt idx="4">
                  <c:v>2703800</c:v>
                </c:pt>
              </c:numCache>
            </c:numRef>
          </c:val>
          <c:extLst>
            <c:ext xmlns:c16="http://schemas.microsoft.com/office/drawing/2014/chart" uri="{C3380CC4-5D6E-409C-BE32-E72D297353CC}">
              <c16:uniqueId val="{0000000A-C504-4113-9053-149453A0831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project.xlsx]Sheet3!PivotTable4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9171891814430107E-16"/>
              <c:y val="9.11680748066357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9171891814430107E-16"/>
              <c:y val="9.11680748066357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9171891814430107E-16"/>
              <c:y val="9.11680748066357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5AE-4341-A0C6-154A58E95305}"/>
              </c:ext>
            </c:extLst>
          </c:dPt>
          <c:dLbls>
            <c:dLbl>
              <c:idx val="0"/>
              <c:layout>
                <c:manualLayout>
                  <c:x val="-1.9171891814430107E-16"/>
                  <c:y val="9.11680748066357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AE-4341-A0C6-154A58E9530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Central</c:v>
                </c:pt>
                <c:pt idx="1">
                  <c:v>East</c:v>
                </c:pt>
                <c:pt idx="2">
                  <c:v>North</c:v>
                </c:pt>
                <c:pt idx="3">
                  <c:v>South</c:v>
                </c:pt>
                <c:pt idx="4">
                  <c:v>West</c:v>
                </c:pt>
              </c:strCache>
            </c:strRef>
          </c:cat>
          <c:val>
            <c:numRef>
              <c:f>Sheet3!$B$4:$B$9</c:f>
              <c:numCache>
                <c:formatCode>"₹".##\.##,"L"</c:formatCode>
                <c:ptCount val="5"/>
                <c:pt idx="0">
                  <c:v>3808600</c:v>
                </c:pt>
                <c:pt idx="1">
                  <c:v>1711400</c:v>
                </c:pt>
                <c:pt idx="2">
                  <c:v>2053400</c:v>
                </c:pt>
                <c:pt idx="3">
                  <c:v>3211800</c:v>
                </c:pt>
                <c:pt idx="4">
                  <c:v>2703800</c:v>
                </c:pt>
              </c:numCache>
            </c:numRef>
          </c:val>
          <c:extLst>
            <c:ext xmlns:c16="http://schemas.microsoft.com/office/drawing/2014/chart" uri="{C3380CC4-5D6E-409C-BE32-E72D297353CC}">
              <c16:uniqueId val="{00000002-C5AE-4341-A0C6-154A58E95305}"/>
            </c:ext>
          </c:extLst>
        </c:ser>
        <c:dLbls>
          <c:dLblPos val="outEnd"/>
          <c:showLegendKey val="0"/>
          <c:showVal val="1"/>
          <c:showCatName val="0"/>
          <c:showSerName val="0"/>
          <c:showPercent val="0"/>
          <c:showBubbleSize val="0"/>
        </c:dLbls>
        <c:gapWidth val="78"/>
        <c:axId val="301929007"/>
        <c:axId val="442341615"/>
      </c:barChart>
      <c:catAx>
        <c:axId val="30192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341615"/>
        <c:crosses val="autoZero"/>
        <c:auto val="1"/>
        <c:lblAlgn val="ctr"/>
        <c:lblOffset val="100"/>
        <c:noMultiLvlLbl val="0"/>
      </c:catAx>
      <c:valAx>
        <c:axId val="442341615"/>
        <c:scaling>
          <c:orientation val="minMax"/>
        </c:scaling>
        <c:delete val="1"/>
        <c:axPos val="b"/>
        <c:numFmt formatCode="&quot;₹&quot;.##\.##,&quot;L&quot;" sourceLinked="1"/>
        <c:majorTickMark val="none"/>
        <c:minorTickMark val="none"/>
        <c:tickLblPos val="nextTo"/>
        <c:crossAx val="30192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project.xlsx]Sheet4!PivotTable5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Sheet4!$A$4:$A$14</c:f>
              <c:strCache>
                <c:ptCount val="10"/>
                <c:pt idx="0">
                  <c:v>Anitha</c:v>
                </c:pt>
                <c:pt idx="1">
                  <c:v>Arun</c:v>
                </c:pt>
                <c:pt idx="2">
                  <c:v>Divya</c:v>
                </c:pt>
                <c:pt idx="3">
                  <c:v>Karthik</c:v>
                </c:pt>
                <c:pt idx="4">
                  <c:v>Meena</c:v>
                </c:pt>
                <c:pt idx="5">
                  <c:v>Priya</c:v>
                </c:pt>
                <c:pt idx="6">
                  <c:v>Rahul</c:v>
                </c:pt>
                <c:pt idx="7">
                  <c:v>Sanjay</c:v>
                </c:pt>
                <c:pt idx="8">
                  <c:v>Sneha</c:v>
                </c:pt>
                <c:pt idx="9">
                  <c:v>Vijay</c:v>
                </c:pt>
              </c:strCache>
            </c:strRef>
          </c:cat>
          <c:val>
            <c:numRef>
              <c:f>Sheet4!$B$4:$B$14</c:f>
              <c:numCache>
                <c:formatCode>##\.##,"L"</c:formatCode>
                <c:ptCount val="10"/>
                <c:pt idx="0">
                  <c:v>2121400</c:v>
                </c:pt>
                <c:pt idx="1">
                  <c:v>982900</c:v>
                </c:pt>
                <c:pt idx="2">
                  <c:v>2341500</c:v>
                </c:pt>
                <c:pt idx="3">
                  <c:v>686000</c:v>
                </c:pt>
                <c:pt idx="4">
                  <c:v>792200</c:v>
                </c:pt>
                <c:pt idx="5">
                  <c:v>2218200</c:v>
                </c:pt>
                <c:pt idx="6">
                  <c:v>1189300</c:v>
                </c:pt>
                <c:pt idx="7">
                  <c:v>1170000</c:v>
                </c:pt>
                <c:pt idx="8">
                  <c:v>814900</c:v>
                </c:pt>
                <c:pt idx="9">
                  <c:v>1172600</c:v>
                </c:pt>
              </c:numCache>
            </c:numRef>
          </c:val>
          <c:extLst>
            <c:ext xmlns:c16="http://schemas.microsoft.com/office/drawing/2014/chart" uri="{C3380CC4-5D6E-409C-BE32-E72D297353CC}">
              <c16:uniqueId val="{00000000-CE43-42D7-8FEF-45451C16DC47}"/>
            </c:ext>
          </c:extLst>
        </c:ser>
        <c:dLbls>
          <c:dLblPos val="outEnd"/>
          <c:showLegendKey val="0"/>
          <c:showVal val="1"/>
          <c:showCatName val="0"/>
          <c:showSerName val="0"/>
          <c:showPercent val="0"/>
          <c:showBubbleSize val="0"/>
        </c:dLbls>
        <c:gapWidth val="75"/>
        <c:overlap val="-27"/>
        <c:axId val="1135396976"/>
        <c:axId val="1113731600"/>
      </c:barChart>
      <c:catAx>
        <c:axId val="113539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731600"/>
        <c:crosses val="autoZero"/>
        <c:auto val="1"/>
        <c:lblAlgn val="ctr"/>
        <c:lblOffset val="100"/>
        <c:noMultiLvlLbl val="0"/>
      </c:catAx>
      <c:valAx>
        <c:axId val="1113731600"/>
        <c:scaling>
          <c:orientation val="minMax"/>
        </c:scaling>
        <c:delete val="1"/>
        <c:axPos val="l"/>
        <c:numFmt formatCode="##\.##,&quot;L&quot;" sourceLinked="1"/>
        <c:majorTickMark val="none"/>
        <c:minorTickMark val="none"/>
        <c:tickLblPos val="nextTo"/>
        <c:crossAx val="113539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6111111111111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88888888888878"/>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166666666666666"/>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5555555555555558E-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5555555555555558E-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7E29-4820-8821-CDF42320AC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7E29-4820-8821-CDF42320AC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7E29-4820-8821-CDF42320AC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7E29-4820-8821-CDF42320AC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7E29-4820-8821-CDF42320AC79}"/>
              </c:ext>
            </c:extLst>
          </c:dPt>
          <c:dLbls>
            <c:dLbl>
              <c:idx val="0"/>
              <c:layout>
                <c:manualLayout>
                  <c:x val="0.13888888888888878"/>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29-4820-8821-CDF42320AC79}"/>
                </c:ext>
              </c:extLst>
            </c:dLbl>
            <c:dLbl>
              <c:idx val="1"/>
              <c:layout>
                <c:manualLayout>
                  <c:x val="0.1361111111111111"/>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29-4820-8821-CDF42320AC79}"/>
                </c:ext>
              </c:extLst>
            </c:dLbl>
            <c:dLbl>
              <c:idx val="2"/>
              <c:layout>
                <c:manualLayout>
                  <c:x val="5.5555555555555558E-3"/>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E29-4820-8821-CDF42320AC79}"/>
                </c:ext>
              </c:extLst>
            </c:dLbl>
            <c:dLbl>
              <c:idx val="3"/>
              <c:layout>
                <c:manualLayout>
                  <c:x val="5.5555555555555558E-3"/>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29-4820-8821-CDF42320AC79}"/>
                </c:ext>
              </c:extLst>
            </c:dLbl>
            <c:dLbl>
              <c:idx val="4"/>
              <c:layout>
                <c:manualLayout>
                  <c:x val="-0.14166666666666666"/>
                  <c:y val="3.7037037037036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E29-4820-8821-CDF42320AC7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Analysis'!$A$4:$A$9</c:f>
              <c:strCache>
                <c:ptCount val="5"/>
                <c:pt idx="0">
                  <c:v>Central</c:v>
                </c:pt>
                <c:pt idx="1">
                  <c:v>East</c:v>
                </c:pt>
                <c:pt idx="2">
                  <c:v>North</c:v>
                </c:pt>
                <c:pt idx="3">
                  <c:v>South</c:v>
                </c:pt>
                <c:pt idx="4">
                  <c:v>West</c:v>
                </c:pt>
              </c:strCache>
            </c:strRef>
          </c:cat>
          <c:val>
            <c:numRef>
              <c:f>'Pivot Table Analysis'!$B$4:$B$9</c:f>
              <c:numCache>
                <c:formatCode>"₹".##\.##,"L"</c:formatCode>
                <c:ptCount val="5"/>
                <c:pt idx="0">
                  <c:v>3808600</c:v>
                </c:pt>
                <c:pt idx="1">
                  <c:v>1711400</c:v>
                </c:pt>
                <c:pt idx="2">
                  <c:v>2053400</c:v>
                </c:pt>
                <c:pt idx="3">
                  <c:v>3211800</c:v>
                </c:pt>
                <c:pt idx="4">
                  <c:v>2703800</c:v>
                </c:pt>
              </c:numCache>
            </c:numRef>
          </c:val>
          <c:extLst>
            <c:ext xmlns:c16="http://schemas.microsoft.com/office/drawing/2014/chart" uri="{C3380CC4-5D6E-409C-BE32-E72D297353CC}">
              <c16:uniqueId val="{00000000-7E29-4820-8821-CDF42320AC7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project.xlsx]Sheet3!PivotTable4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9171891814430107E-16"/>
              <c:y val="9.11680748066357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53EB-437F-A72E-B8D0FDEECA16}"/>
              </c:ext>
            </c:extLst>
          </c:dPt>
          <c:dLbls>
            <c:dLbl>
              <c:idx val="0"/>
              <c:layout>
                <c:manualLayout>
                  <c:x val="-1.9171891814430107E-16"/>
                  <c:y val="9.11680748066357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EB-437F-A72E-B8D0FDEECA1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Central</c:v>
                </c:pt>
                <c:pt idx="1">
                  <c:v>East</c:v>
                </c:pt>
                <c:pt idx="2">
                  <c:v>North</c:v>
                </c:pt>
                <c:pt idx="3">
                  <c:v>South</c:v>
                </c:pt>
                <c:pt idx="4">
                  <c:v>West</c:v>
                </c:pt>
              </c:strCache>
            </c:strRef>
          </c:cat>
          <c:val>
            <c:numRef>
              <c:f>Sheet3!$B$4:$B$9</c:f>
              <c:numCache>
                <c:formatCode>"₹".##\.##,"L"</c:formatCode>
                <c:ptCount val="5"/>
                <c:pt idx="0">
                  <c:v>3808600</c:v>
                </c:pt>
                <c:pt idx="1">
                  <c:v>1711400</c:v>
                </c:pt>
                <c:pt idx="2">
                  <c:v>2053400</c:v>
                </c:pt>
                <c:pt idx="3">
                  <c:v>3211800</c:v>
                </c:pt>
                <c:pt idx="4">
                  <c:v>2703800</c:v>
                </c:pt>
              </c:numCache>
            </c:numRef>
          </c:val>
          <c:extLst>
            <c:ext xmlns:c16="http://schemas.microsoft.com/office/drawing/2014/chart" uri="{C3380CC4-5D6E-409C-BE32-E72D297353CC}">
              <c16:uniqueId val="{00000000-53EB-437F-A72E-B8D0FDEECA16}"/>
            </c:ext>
          </c:extLst>
        </c:ser>
        <c:dLbls>
          <c:dLblPos val="outEnd"/>
          <c:showLegendKey val="0"/>
          <c:showVal val="1"/>
          <c:showCatName val="0"/>
          <c:showSerName val="0"/>
          <c:showPercent val="0"/>
          <c:showBubbleSize val="0"/>
        </c:dLbls>
        <c:gapWidth val="78"/>
        <c:axId val="301929007"/>
        <c:axId val="442341615"/>
      </c:barChart>
      <c:catAx>
        <c:axId val="30192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341615"/>
        <c:crosses val="autoZero"/>
        <c:auto val="1"/>
        <c:lblAlgn val="ctr"/>
        <c:lblOffset val="100"/>
        <c:noMultiLvlLbl val="0"/>
      </c:catAx>
      <c:valAx>
        <c:axId val="442341615"/>
        <c:scaling>
          <c:orientation val="minMax"/>
        </c:scaling>
        <c:delete val="1"/>
        <c:axPos val="b"/>
        <c:numFmt formatCode="&quot;₹&quot;.##\.##,&quot;L&quot;" sourceLinked="1"/>
        <c:majorTickMark val="none"/>
        <c:minorTickMark val="none"/>
        <c:tickLblPos val="nextTo"/>
        <c:crossAx val="30192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project.xlsx]Sheet4!PivotTable5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Sheet4!$A$4:$A$14</c:f>
              <c:strCache>
                <c:ptCount val="10"/>
                <c:pt idx="0">
                  <c:v>Anitha</c:v>
                </c:pt>
                <c:pt idx="1">
                  <c:v>Arun</c:v>
                </c:pt>
                <c:pt idx="2">
                  <c:v>Divya</c:v>
                </c:pt>
                <c:pt idx="3">
                  <c:v>Karthik</c:v>
                </c:pt>
                <c:pt idx="4">
                  <c:v>Meena</c:v>
                </c:pt>
                <c:pt idx="5">
                  <c:v>Priya</c:v>
                </c:pt>
                <c:pt idx="6">
                  <c:v>Rahul</c:v>
                </c:pt>
                <c:pt idx="7">
                  <c:v>Sanjay</c:v>
                </c:pt>
                <c:pt idx="8">
                  <c:v>Sneha</c:v>
                </c:pt>
                <c:pt idx="9">
                  <c:v>Vijay</c:v>
                </c:pt>
              </c:strCache>
            </c:strRef>
          </c:cat>
          <c:val>
            <c:numRef>
              <c:f>Sheet4!$B$4:$B$14</c:f>
              <c:numCache>
                <c:formatCode>##\.##,"L"</c:formatCode>
                <c:ptCount val="10"/>
                <c:pt idx="0">
                  <c:v>2121400</c:v>
                </c:pt>
                <c:pt idx="1">
                  <c:v>982900</c:v>
                </c:pt>
                <c:pt idx="2">
                  <c:v>2341500</c:v>
                </c:pt>
                <c:pt idx="3">
                  <c:v>686000</c:v>
                </c:pt>
                <c:pt idx="4">
                  <c:v>792200</c:v>
                </c:pt>
                <c:pt idx="5">
                  <c:v>2218200</c:v>
                </c:pt>
                <c:pt idx="6">
                  <c:v>1189300</c:v>
                </c:pt>
                <c:pt idx="7">
                  <c:v>1170000</c:v>
                </c:pt>
                <c:pt idx="8">
                  <c:v>814900</c:v>
                </c:pt>
                <c:pt idx="9">
                  <c:v>1172600</c:v>
                </c:pt>
              </c:numCache>
            </c:numRef>
          </c:val>
          <c:extLst>
            <c:ext xmlns:c16="http://schemas.microsoft.com/office/drawing/2014/chart" uri="{C3380CC4-5D6E-409C-BE32-E72D297353CC}">
              <c16:uniqueId val="{00000000-DDF7-47C5-AC7B-80C213781759}"/>
            </c:ext>
          </c:extLst>
        </c:ser>
        <c:dLbls>
          <c:dLblPos val="outEnd"/>
          <c:showLegendKey val="0"/>
          <c:showVal val="1"/>
          <c:showCatName val="0"/>
          <c:showSerName val="0"/>
          <c:showPercent val="0"/>
          <c:showBubbleSize val="0"/>
        </c:dLbls>
        <c:gapWidth val="75"/>
        <c:overlap val="-27"/>
        <c:axId val="1135396976"/>
        <c:axId val="1113731600"/>
      </c:barChart>
      <c:catAx>
        <c:axId val="113539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731600"/>
        <c:crosses val="autoZero"/>
        <c:auto val="1"/>
        <c:lblAlgn val="ctr"/>
        <c:lblOffset val="100"/>
        <c:noMultiLvlLbl val="0"/>
      </c:catAx>
      <c:valAx>
        <c:axId val="1113731600"/>
        <c:scaling>
          <c:orientation val="minMax"/>
        </c:scaling>
        <c:delete val="1"/>
        <c:axPos val="l"/>
        <c:numFmt formatCode="##\.##,&quot;L&quot;" sourceLinked="1"/>
        <c:majorTickMark val="none"/>
        <c:minorTickMark val="none"/>
        <c:tickLblPos val="nextTo"/>
        <c:crossAx val="113539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project.xlsx]Sheet5!PivotTable6</c:name>
    <c:fmtId val="7"/>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Sheet5!$A$4:$A$14</c:f>
              <c:strCache>
                <c:ptCount val="10"/>
                <c:pt idx="0">
                  <c:v>Headphones</c:v>
                </c:pt>
                <c:pt idx="1">
                  <c:v>Keyboard</c:v>
                </c:pt>
                <c:pt idx="2">
                  <c:v>Laptop</c:v>
                </c:pt>
                <c:pt idx="3">
                  <c:v>Monitor</c:v>
                </c:pt>
                <c:pt idx="4">
                  <c:v>Mouse</c:v>
                </c:pt>
                <c:pt idx="5">
                  <c:v>Printer</c:v>
                </c:pt>
                <c:pt idx="6">
                  <c:v>Smartphone</c:v>
                </c:pt>
                <c:pt idx="7">
                  <c:v>Smartwatch</c:v>
                </c:pt>
                <c:pt idx="8">
                  <c:v>Tablet</c:v>
                </c:pt>
                <c:pt idx="9">
                  <c:v>Webcam</c:v>
                </c:pt>
              </c:strCache>
            </c:strRef>
          </c:cat>
          <c:val>
            <c:numRef>
              <c:f>Sheet5!$B$4:$B$14</c:f>
              <c:numCache>
                <c:formatCode>General</c:formatCode>
                <c:ptCount val="10"/>
                <c:pt idx="0">
                  <c:v>144</c:v>
                </c:pt>
                <c:pt idx="1">
                  <c:v>105</c:v>
                </c:pt>
                <c:pt idx="2">
                  <c:v>90</c:v>
                </c:pt>
                <c:pt idx="3">
                  <c:v>69</c:v>
                </c:pt>
                <c:pt idx="4">
                  <c:v>108</c:v>
                </c:pt>
                <c:pt idx="5">
                  <c:v>87</c:v>
                </c:pt>
                <c:pt idx="6">
                  <c:v>181</c:v>
                </c:pt>
                <c:pt idx="7">
                  <c:v>59</c:v>
                </c:pt>
                <c:pt idx="8">
                  <c:v>140</c:v>
                </c:pt>
                <c:pt idx="9">
                  <c:v>79</c:v>
                </c:pt>
              </c:numCache>
            </c:numRef>
          </c:val>
          <c:smooth val="0"/>
          <c:extLst>
            <c:ext xmlns:c16="http://schemas.microsoft.com/office/drawing/2014/chart" uri="{C3380CC4-5D6E-409C-BE32-E72D297353CC}">
              <c16:uniqueId val="{00000000-ACFB-4544-9D9F-B9609214F8A2}"/>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08722304"/>
        <c:axId val="1113658640"/>
      </c:lineChart>
      <c:catAx>
        <c:axId val="11087223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13658640"/>
        <c:crosses val="autoZero"/>
        <c:auto val="1"/>
        <c:lblAlgn val="ctr"/>
        <c:lblOffset val="100"/>
        <c:noMultiLvlLbl val="0"/>
      </c:catAx>
      <c:valAx>
        <c:axId val="1113658640"/>
        <c:scaling>
          <c:orientation val="minMax"/>
        </c:scaling>
        <c:delete val="1"/>
        <c:axPos val="l"/>
        <c:numFmt formatCode="General" sourceLinked="1"/>
        <c:majorTickMark val="none"/>
        <c:minorTickMark val="none"/>
        <c:tickLblPos val="nextTo"/>
        <c:crossAx val="110872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9524</xdr:colOff>
      <xdr:row>0</xdr:row>
      <xdr:rowOff>9525</xdr:rowOff>
    </xdr:from>
    <xdr:to>
      <xdr:col>20</xdr:col>
      <xdr:colOff>590549</xdr:colOff>
      <xdr:row>5</xdr:row>
      <xdr:rowOff>0</xdr:rowOff>
    </xdr:to>
    <xdr:sp macro="" textlink="">
      <xdr:nvSpPr>
        <xdr:cNvPr id="3" name="Rectangle: Rounded Corners 2">
          <a:extLst>
            <a:ext uri="{FF2B5EF4-FFF2-40B4-BE49-F238E27FC236}">
              <a16:creationId xmlns:a16="http://schemas.microsoft.com/office/drawing/2014/main" id="{15DE5C0F-2968-1556-A752-9475C707F018}"/>
            </a:ext>
          </a:extLst>
        </xdr:cNvPr>
        <xdr:cNvSpPr/>
      </xdr:nvSpPr>
      <xdr:spPr>
        <a:xfrm>
          <a:off x="9524" y="9525"/>
          <a:ext cx="12773025" cy="942975"/>
        </a:xfrm>
        <a:prstGeom prst="roundRect">
          <a:avLst>
            <a:gd name="adj" fmla="val 1096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cap="none" spc="0">
              <a:ln w="0"/>
              <a:solidFill>
                <a:schemeClr val="accent1"/>
              </a:solidFill>
              <a:effectLst>
                <a:outerShdw blurRad="38100" dist="25400" dir="5400000" algn="ctr" rotWithShape="0">
                  <a:srgbClr val="6E747A">
                    <a:alpha val="43000"/>
                  </a:srgbClr>
                </a:outerShdw>
              </a:effectLst>
            </a:rPr>
            <a:t>SALES</a:t>
          </a:r>
          <a:r>
            <a:rPr lang="en-IN" sz="4000" b="1" cap="none" spc="0" baseline="0">
              <a:ln w="0"/>
              <a:solidFill>
                <a:schemeClr val="accent1"/>
              </a:solidFill>
              <a:effectLst>
                <a:outerShdw blurRad="38100" dist="25400" dir="5400000" algn="ctr" rotWithShape="0">
                  <a:srgbClr val="6E747A">
                    <a:alpha val="43000"/>
                  </a:srgbClr>
                </a:outerShdw>
              </a:effectLst>
            </a:rPr>
            <a:t> DASHBOARD</a:t>
          </a:r>
        </a:p>
      </xdr:txBody>
    </xdr:sp>
    <xdr:clientData/>
  </xdr:twoCellAnchor>
  <xdr:twoCellAnchor>
    <xdr:from>
      <xdr:col>0</xdr:col>
      <xdr:colOff>0</xdr:colOff>
      <xdr:row>5</xdr:row>
      <xdr:rowOff>0</xdr:rowOff>
    </xdr:from>
    <xdr:to>
      <xdr:col>3</xdr:col>
      <xdr:colOff>439200</xdr:colOff>
      <xdr:row>9</xdr:row>
      <xdr:rowOff>73200</xdr:rowOff>
    </xdr:to>
    <xdr:grpSp>
      <xdr:nvGrpSpPr>
        <xdr:cNvPr id="27" name="Group 26">
          <a:extLst>
            <a:ext uri="{FF2B5EF4-FFF2-40B4-BE49-F238E27FC236}">
              <a16:creationId xmlns:a16="http://schemas.microsoft.com/office/drawing/2014/main" id="{E5A91212-7435-E182-4432-7EE847ED9D31}"/>
            </a:ext>
          </a:extLst>
        </xdr:cNvPr>
        <xdr:cNvGrpSpPr/>
      </xdr:nvGrpSpPr>
      <xdr:grpSpPr>
        <a:xfrm>
          <a:off x="0" y="952500"/>
          <a:ext cx="2268000" cy="835200"/>
          <a:chOff x="0" y="952500"/>
          <a:chExt cx="2268000" cy="835200"/>
        </a:xfrm>
      </xdr:grpSpPr>
      <xdr:sp macro="" textlink="">
        <xdr:nvSpPr>
          <xdr:cNvPr id="4" name="Rectangle: Rounded Corners 3">
            <a:extLst>
              <a:ext uri="{FF2B5EF4-FFF2-40B4-BE49-F238E27FC236}">
                <a16:creationId xmlns:a16="http://schemas.microsoft.com/office/drawing/2014/main" id="{8600CF22-941D-4768-AF33-4491CAEB7126}"/>
              </a:ext>
            </a:extLst>
          </xdr:cNvPr>
          <xdr:cNvSpPr/>
        </xdr:nvSpPr>
        <xdr:spPr>
          <a:xfrm>
            <a:off x="0" y="952500"/>
            <a:ext cx="2268000" cy="835200"/>
          </a:xfrm>
          <a:prstGeom prst="roundRect">
            <a:avLst>
              <a:gd name="adj" fmla="val 1210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1" name="Group 10">
            <a:extLst>
              <a:ext uri="{FF2B5EF4-FFF2-40B4-BE49-F238E27FC236}">
                <a16:creationId xmlns:a16="http://schemas.microsoft.com/office/drawing/2014/main" id="{452FB300-EB55-E378-084A-36BBD1989B84}"/>
              </a:ext>
            </a:extLst>
          </xdr:cNvPr>
          <xdr:cNvGrpSpPr/>
        </xdr:nvGrpSpPr>
        <xdr:grpSpPr>
          <a:xfrm>
            <a:off x="19051" y="962025"/>
            <a:ext cx="2028824" cy="819149"/>
            <a:chOff x="19051" y="962025"/>
            <a:chExt cx="2028824" cy="819149"/>
          </a:xfrm>
        </xdr:grpSpPr>
        <xdr:sp macro="" textlink="">
          <xdr:nvSpPr>
            <xdr:cNvPr id="5" name="Rectangle: Rounded Corners 4">
              <a:extLst>
                <a:ext uri="{FF2B5EF4-FFF2-40B4-BE49-F238E27FC236}">
                  <a16:creationId xmlns:a16="http://schemas.microsoft.com/office/drawing/2014/main" id="{18719E3B-01FB-4320-A224-786643B98D2F}"/>
                </a:ext>
              </a:extLst>
            </xdr:cNvPr>
            <xdr:cNvSpPr/>
          </xdr:nvSpPr>
          <xdr:spPr>
            <a:xfrm>
              <a:off x="19051" y="962025"/>
              <a:ext cx="542924" cy="819149"/>
            </a:xfrm>
            <a:prstGeom prst="roundRect">
              <a:avLst>
                <a:gd name="adj" fmla="val 8576"/>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C5EE1268-0FE2-03CD-2197-A9A59B602CB5}"/>
                </a:ext>
              </a:extLst>
            </xdr:cNvPr>
            <xdr:cNvSpPr txBox="1"/>
          </xdr:nvSpPr>
          <xdr:spPr>
            <a:xfrm>
              <a:off x="695324" y="1076325"/>
              <a:ext cx="13525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solidFill>
                </a:rPr>
                <a:t>TOTAL SALES</a:t>
              </a:r>
            </a:p>
          </xdr:txBody>
        </xdr:sp>
        <xdr:sp macro="" textlink="'Sales Data'!M2">
          <xdr:nvSpPr>
            <xdr:cNvPr id="7" name="TextBox 6">
              <a:extLst>
                <a:ext uri="{FF2B5EF4-FFF2-40B4-BE49-F238E27FC236}">
                  <a16:creationId xmlns:a16="http://schemas.microsoft.com/office/drawing/2014/main" id="{575A0091-EC1A-FEE4-950A-8F6D617859C6}"/>
                </a:ext>
              </a:extLst>
            </xdr:cNvPr>
            <xdr:cNvSpPr txBox="1"/>
          </xdr:nvSpPr>
          <xdr:spPr>
            <a:xfrm>
              <a:off x="752475" y="1390650"/>
              <a:ext cx="12668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B776C-A3B6-4B0C-885F-94E7232709ED}" type="TxLink">
                <a:rPr lang="en-US" sz="1600" b="1" i="0" u="none" strike="noStrike">
                  <a:solidFill>
                    <a:schemeClr val="accent1"/>
                  </a:solidFill>
                  <a:latin typeface="Aptos Narrow"/>
                </a:rPr>
                <a:pPr algn="ctr"/>
                <a:t>13489000.00</a:t>
              </a:fld>
              <a:endParaRPr lang="en-IN" sz="1600" b="1">
                <a:solidFill>
                  <a:schemeClr val="accent1"/>
                </a:solidFill>
              </a:endParaRPr>
            </a:p>
          </xdr:txBody>
        </xdr:sp>
      </xdr:grpSp>
    </xdr:grpSp>
    <xdr:clientData/>
  </xdr:twoCellAnchor>
  <xdr:twoCellAnchor>
    <xdr:from>
      <xdr:col>3</xdr:col>
      <xdr:colOff>447675</xdr:colOff>
      <xdr:row>5</xdr:row>
      <xdr:rowOff>9524</xdr:rowOff>
    </xdr:from>
    <xdr:to>
      <xdr:col>7</xdr:col>
      <xdr:colOff>353475</xdr:colOff>
      <xdr:row>9</xdr:row>
      <xdr:rowOff>73199</xdr:rowOff>
    </xdr:to>
    <xdr:grpSp>
      <xdr:nvGrpSpPr>
        <xdr:cNvPr id="28" name="Group 27">
          <a:extLst>
            <a:ext uri="{FF2B5EF4-FFF2-40B4-BE49-F238E27FC236}">
              <a16:creationId xmlns:a16="http://schemas.microsoft.com/office/drawing/2014/main" id="{827956D5-B7D1-BF25-D78D-888AB039F07A}"/>
            </a:ext>
          </a:extLst>
        </xdr:cNvPr>
        <xdr:cNvGrpSpPr/>
      </xdr:nvGrpSpPr>
      <xdr:grpSpPr>
        <a:xfrm>
          <a:off x="2276475" y="962024"/>
          <a:ext cx="2344200" cy="825675"/>
          <a:chOff x="0" y="952500"/>
          <a:chExt cx="2268000" cy="835200"/>
        </a:xfrm>
      </xdr:grpSpPr>
      <xdr:sp macro="" textlink="">
        <xdr:nvSpPr>
          <xdr:cNvPr id="29" name="Rectangle: Rounded Corners 28">
            <a:extLst>
              <a:ext uri="{FF2B5EF4-FFF2-40B4-BE49-F238E27FC236}">
                <a16:creationId xmlns:a16="http://schemas.microsoft.com/office/drawing/2014/main" id="{BAC9D9E4-6104-F997-048F-BBC4FDC830BF}"/>
              </a:ext>
            </a:extLst>
          </xdr:cNvPr>
          <xdr:cNvSpPr/>
        </xdr:nvSpPr>
        <xdr:spPr>
          <a:xfrm>
            <a:off x="0" y="952500"/>
            <a:ext cx="2268000" cy="835200"/>
          </a:xfrm>
          <a:prstGeom prst="roundRect">
            <a:avLst>
              <a:gd name="adj" fmla="val 1210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0" name="Group 29">
            <a:extLst>
              <a:ext uri="{FF2B5EF4-FFF2-40B4-BE49-F238E27FC236}">
                <a16:creationId xmlns:a16="http://schemas.microsoft.com/office/drawing/2014/main" id="{CFDC9537-9F01-39FF-1244-63FF5028977A}"/>
              </a:ext>
            </a:extLst>
          </xdr:cNvPr>
          <xdr:cNvGrpSpPr/>
        </xdr:nvGrpSpPr>
        <xdr:grpSpPr>
          <a:xfrm>
            <a:off x="19051" y="962025"/>
            <a:ext cx="2143124" cy="819149"/>
            <a:chOff x="19051" y="962025"/>
            <a:chExt cx="2143124" cy="819149"/>
          </a:xfrm>
        </xdr:grpSpPr>
        <xdr:sp macro="" textlink="">
          <xdr:nvSpPr>
            <xdr:cNvPr id="31" name="Rectangle: Rounded Corners 30">
              <a:extLst>
                <a:ext uri="{FF2B5EF4-FFF2-40B4-BE49-F238E27FC236}">
                  <a16:creationId xmlns:a16="http://schemas.microsoft.com/office/drawing/2014/main" id="{9B8616B9-E683-1B7F-2DF5-5D17094A6E5E}"/>
                </a:ext>
              </a:extLst>
            </xdr:cNvPr>
            <xdr:cNvSpPr/>
          </xdr:nvSpPr>
          <xdr:spPr>
            <a:xfrm>
              <a:off x="19051" y="962025"/>
              <a:ext cx="542924" cy="819149"/>
            </a:xfrm>
            <a:prstGeom prst="roundRect">
              <a:avLst>
                <a:gd name="adj" fmla="val 8576"/>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BCF27CFF-B734-0B6B-51E7-D000B5A9FCBB}"/>
                </a:ext>
              </a:extLst>
            </xdr:cNvPr>
            <xdr:cNvSpPr txBox="1"/>
          </xdr:nvSpPr>
          <xdr:spPr>
            <a:xfrm>
              <a:off x="695324" y="1076326"/>
              <a:ext cx="146685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solidFill>
                </a:rPr>
                <a:t>AVERAGE SALES</a:t>
              </a:r>
            </a:p>
          </xdr:txBody>
        </xdr:sp>
        <xdr:sp macro="" textlink="'Sales Data'!M8">
          <xdr:nvSpPr>
            <xdr:cNvPr id="33" name="TextBox 32">
              <a:extLst>
                <a:ext uri="{FF2B5EF4-FFF2-40B4-BE49-F238E27FC236}">
                  <a16:creationId xmlns:a16="http://schemas.microsoft.com/office/drawing/2014/main" id="{B7A4592B-C230-DF00-0E18-741E71AD3378}"/>
                </a:ext>
              </a:extLst>
            </xdr:cNvPr>
            <xdr:cNvSpPr txBox="1"/>
          </xdr:nvSpPr>
          <xdr:spPr>
            <a:xfrm>
              <a:off x="752475" y="1390650"/>
              <a:ext cx="12668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A09024-55E6-4F8E-9CD8-88245A06B52E}" type="TxLink">
                <a:rPr lang="en-US" sz="1600" b="1" i="0" u="none" strike="noStrike">
                  <a:solidFill>
                    <a:schemeClr val="accent1"/>
                  </a:solidFill>
                  <a:latin typeface="Aptos Narrow"/>
                </a:rPr>
                <a:pPr algn="ctr"/>
                <a:t>134890.00</a:t>
              </a:fld>
              <a:endParaRPr lang="en-IN" sz="1600" b="1">
                <a:solidFill>
                  <a:schemeClr val="accent1"/>
                </a:solidFill>
              </a:endParaRPr>
            </a:p>
          </xdr:txBody>
        </xdr:sp>
      </xdr:grpSp>
    </xdr:grpSp>
    <xdr:clientData/>
  </xdr:twoCellAnchor>
  <xdr:twoCellAnchor>
    <xdr:from>
      <xdr:col>7</xdr:col>
      <xdr:colOff>361950</xdr:colOff>
      <xdr:row>5</xdr:row>
      <xdr:rowOff>19050</xdr:rowOff>
    </xdr:from>
    <xdr:to>
      <xdr:col>11</xdr:col>
      <xdr:colOff>258225</xdr:colOff>
      <xdr:row>9</xdr:row>
      <xdr:rowOff>73200</xdr:rowOff>
    </xdr:to>
    <xdr:grpSp>
      <xdr:nvGrpSpPr>
        <xdr:cNvPr id="34" name="Group 33">
          <a:extLst>
            <a:ext uri="{FF2B5EF4-FFF2-40B4-BE49-F238E27FC236}">
              <a16:creationId xmlns:a16="http://schemas.microsoft.com/office/drawing/2014/main" id="{8B096AB1-2C7C-DE9E-C784-5CD078E1621E}"/>
            </a:ext>
          </a:extLst>
        </xdr:cNvPr>
        <xdr:cNvGrpSpPr/>
      </xdr:nvGrpSpPr>
      <xdr:grpSpPr>
        <a:xfrm>
          <a:off x="4629150" y="971550"/>
          <a:ext cx="2334675" cy="816150"/>
          <a:chOff x="0" y="952500"/>
          <a:chExt cx="2268000" cy="835200"/>
        </a:xfrm>
      </xdr:grpSpPr>
      <xdr:sp macro="" textlink="">
        <xdr:nvSpPr>
          <xdr:cNvPr id="35" name="Rectangle: Rounded Corners 34">
            <a:extLst>
              <a:ext uri="{FF2B5EF4-FFF2-40B4-BE49-F238E27FC236}">
                <a16:creationId xmlns:a16="http://schemas.microsoft.com/office/drawing/2014/main" id="{831E9867-EE14-A10B-69D5-636DEBE6E01D}"/>
              </a:ext>
            </a:extLst>
          </xdr:cNvPr>
          <xdr:cNvSpPr/>
        </xdr:nvSpPr>
        <xdr:spPr>
          <a:xfrm>
            <a:off x="0" y="952500"/>
            <a:ext cx="2268000" cy="835200"/>
          </a:xfrm>
          <a:prstGeom prst="roundRect">
            <a:avLst>
              <a:gd name="adj" fmla="val 1210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6" name="Group 35">
            <a:extLst>
              <a:ext uri="{FF2B5EF4-FFF2-40B4-BE49-F238E27FC236}">
                <a16:creationId xmlns:a16="http://schemas.microsoft.com/office/drawing/2014/main" id="{E9DB6042-FEB3-CC19-328F-4E7836126BDA}"/>
              </a:ext>
            </a:extLst>
          </xdr:cNvPr>
          <xdr:cNvGrpSpPr/>
        </xdr:nvGrpSpPr>
        <xdr:grpSpPr>
          <a:xfrm>
            <a:off x="19051" y="962025"/>
            <a:ext cx="2028824" cy="819149"/>
            <a:chOff x="19051" y="962025"/>
            <a:chExt cx="2028824" cy="819149"/>
          </a:xfrm>
        </xdr:grpSpPr>
        <xdr:sp macro="" textlink="">
          <xdr:nvSpPr>
            <xdr:cNvPr id="37" name="Rectangle: Rounded Corners 36">
              <a:extLst>
                <a:ext uri="{FF2B5EF4-FFF2-40B4-BE49-F238E27FC236}">
                  <a16:creationId xmlns:a16="http://schemas.microsoft.com/office/drawing/2014/main" id="{F3AAD389-8256-2287-C2BB-C417B148D4E4}"/>
                </a:ext>
              </a:extLst>
            </xdr:cNvPr>
            <xdr:cNvSpPr/>
          </xdr:nvSpPr>
          <xdr:spPr>
            <a:xfrm>
              <a:off x="19051" y="962025"/>
              <a:ext cx="542924" cy="819149"/>
            </a:xfrm>
            <a:prstGeom prst="roundRect">
              <a:avLst>
                <a:gd name="adj" fmla="val 8576"/>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C0B6A616-B0F6-F197-ADB6-F95F7C915A0B}"/>
                </a:ext>
              </a:extLst>
            </xdr:cNvPr>
            <xdr:cNvSpPr txBox="1"/>
          </xdr:nvSpPr>
          <xdr:spPr>
            <a:xfrm>
              <a:off x="695324" y="1076325"/>
              <a:ext cx="13525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solidFill>
                </a:rPr>
                <a:t>UNITS</a:t>
              </a:r>
              <a:r>
                <a:rPr lang="en-IN" sz="1400" b="1" baseline="0">
                  <a:solidFill>
                    <a:schemeClr val="accent1"/>
                  </a:solidFill>
                </a:rPr>
                <a:t> SOLD</a:t>
              </a:r>
              <a:endParaRPr lang="en-IN" sz="1400" b="1">
                <a:solidFill>
                  <a:schemeClr val="accent1"/>
                </a:solidFill>
              </a:endParaRPr>
            </a:p>
          </xdr:txBody>
        </xdr:sp>
        <xdr:sp macro="" textlink="'Sales Data'!M4">
          <xdr:nvSpPr>
            <xdr:cNvPr id="39" name="TextBox 38">
              <a:extLst>
                <a:ext uri="{FF2B5EF4-FFF2-40B4-BE49-F238E27FC236}">
                  <a16:creationId xmlns:a16="http://schemas.microsoft.com/office/drawing/2014/main" id="{AD7CC354-DDC3-0258-54D4-BA2AC3296294}"/>
                </a:ext>
              </a:extLst>
            </xdr:cNvPr>
            <xdr:cNvSpPr txBox="1"/>
          </xdr:nvSpPr>
          <xdr:spPr>
            <a:xfrm>
              <a:off x="752475" y="1390650"/>
              <a:ext cx="12668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DA4D1D-0D10-4453-A8D0-39CD597F1119}" type="TxLink">
                <a:rPr lang="en-US" sz="1600" b="1" i="0" u="none" strike="noStrike">
                  <a:solidFill>
                    <a:schemeClr val="accent1"/>
                  </a:solidFill>
                  <a:latin typeface="Aptos Narrow"/>
                </a:rPr>
                <a:pPr algn="ctr"/>
                <a:t>1062</a:t>
              </a:fld>
              <a:endParaRPr lang="en-IN" sz="1600" b="1">
                <a:solidFill>
                  <a:schemeClr val="accent1"/>
                </a:solidFill>
              </a:endParaRPr>
            </a:p>
          </xdr:txBody>
        </xdr:sp>
      </xdr:grpSp>
    </xdr:grpSp>
    <xdr:clientData/>
  </xdr:twoCellAnchor>
  <xdr:twoCellAnchor>
    <xdr:from>
      <xdr:col>11</xdr:col>
      <xdr:colOff>266700</xdr:colOff>
      <xdr:row>5</xdr:row>
      <xdr:rowOff>0</xdr:rowOff>
    </xdr:from>
    <xdr:to>
      <xdr:col>15</xdr:col>
      <xdr:colOff>143925</xdr:colOff>
      <xdr:row>9</xdr:row>
      <xdr:rowOff>73200</xdr:rowOff>
    </xdr:to>
    <xdr:grpSp>
      <xdr:nvGrpSpPr>
        <xdr:cNvPr id="52" name="Group 51">
          <a:extLst>
            <a:ext uri="{FF2B5EF4-FFF2-40B4-BE49-F238E27FC236}">
              <a16:creationId xmlns:a16="http://schemas.microsoft.com/office/drawing/2014/main" id="{E6034E74-1E35-5712-85E3-3312022F7BC7}"/>
            </a:ext>
          </a:extLst>
        </xdr:cNvPr>
        <xdr:cNvGrpSpPr/>
      </xdr:nvGrpSpPr>
      <xdr:grpSpPr>
        <a:xfrm>
          <a:off x="6972300" y="952500"/>
          <a:ext cx="2315625" cy="835200"/>
          <a:chOff x="0" y="952500"/>
          <a:chExt cx="2268000" cy="835200"/>
        </a:xfrm>
      </xdr:grpSpPr>
      <xdr:sp macro="" textlink="">
        <xdr:nvSpPr>
          <xdr:cNvPr id="53" name="Rectangle: Rounded Corners 52">
            <a:extLst>
              <a:ext uri="{FF2B5EF4-FFF2-40B4-BE49-F238E27FC236}">
                <a16:creationId xmlns:a16="http://schemas.microsoft.com/office/drawing/2014/main" id="{2406F91B-3DB4-081E-CAC3-64AA9F9F5FA6}"/>
              </a:ext>
            </a:extLst>
          </xdr:cNvPr>
          <xdr:cNvSpPr/>
        </xdr:nvSpPr>
        <xdr:spPr>
          <a:xfrm>
            <a:off x="0" y="952500"/>
            <a:ext cx="2268000" cy="835200"/>
          </a:xfrm>
          <a:prstGeom prst="roundRect">
            <a:avLst>
              <a:gd name="adj" fmla="val 1210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4" name="Group 53">
            <a:extLst>
              <a:ext uri="{FF2B5EF4-FFF2-40B4-BE49-F238E27FC236}">
                <a16:creationId xmlns:a16="http://schemas.microsoft.com/office/drawing/2014/main" id="{441B86E6-FE35-3EF1-580E-449B37CF6D25}"/>
              </a:ext>
            </a:extLst>
          </xdr:cNvPr>
          <xdr:cNvGrpSpPr/>
        </xdr:nvGrpSpPr>
        <xdr:grpSpPr>
          <a:xfrm>
            <a:off x="19051" y="962025"/>
            <a:ext cx="2028824" cy="819149"/>
            <a:chOff x="19051" y="962025"/>
            <a:chExt cx="2028824" cy="819149"/>
          </a:xfrm>
        </xdr:grpSpPr>
        <xdr:sp macro="" textlink="">
          <xdr:nvSpPr>
            <xdr:cNvPr id="55" name="Rectangle: Rounded Corners 54">
              <a:extLst>
                <a:ext uri="{FF2B5EF4-FFF2-40B4-BE49-F238E27FC236}">
                  <a16:creationId xmlns:a16="http://schemas.microsoft.com/office/drawing/2014/main" id="{34FCAAA3-8AA2-89D3-29E9-8253D26902AB}"/>
                </a:ext>
              </a:extLst>
            </xdr:cNvPr>
            <xdr:cNvSpPr/>
          </xdr:nvSpPr>
          <xdr:spPr>
            <a:xfrm>
              <a:off x="19051" y="962025"/>
              <a:ext cx="542924" cy="819149"/>
            </a:xfrm>
            <a:prstGeom prst="roundRect">
              <a:avLst>
                <a:gd name="adj" fmla="val 8576"/>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TextBox 55">
              <a:extLst>
                <a:ext uri="{FF2B5EF4-FFF2-40B4-BE49-F238E27FC236}">
                  <a16:creationId xmlns:a16="http://schemas.microsoft.com/office/drawing/2014/main" id="{7EC5A7BB-E3B5-92DE-89EE-8C47176E82CE}"/>
                </a:ext>
              </a:extLst>
            </xdr:cNvPr>
            <xdr:cNvSpPr txBox="1"/>
          </xdr:nvSpPr>
          <xdr:spPr>
            <a:xfrm>
              <a:off x="695324" y="1076325"/>
              <a:ext cx="13525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solidFill>
                </a:rPr>
                <a:t>PROFIT</a:t>
              </a:r>
            </a:p>
          </xdr:txBody>
        </xdr:sp>
        <xdr:sp macro="" textlink="'Sales Data'!M6">
          <xdr:nvSpPr>
            <xdr:cNvPr id="57" name="TextBox 56">
              <a:extLst>
                <a:ext uri="{FF2B5EF4-FFF2-40B4-BE49-F238E27FC236}">
                  <a16:creationId xmlns:a16="http://schemas.microsoft.com/office/drawing/2014/main" id="{7617E4EC-E5CD-3664-47AF-70906F6B8492}"/>
                </a:ext>
              </a:extLst>
            </xdr:cNvPr>
            <xdr:cNvSpPr txBox="1"/>
          </xdr:nvSpPr>
          <xdr:spPr>
            <a:xfrm>
              <a:off x="752475" y="1390650"/>
              <a:ext cx="12668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D40427-17CE-443A-9AA1-1623A76359BD}" type="TxLink">
                <a:rPr lang="en-US" sz="1600" b="1" i="0" u="none" strike="noStrike">
                  <a:solidFill>
                    <a:schemeClr val="accent1"/>
                  </a:solidFill>
                  <a:latin typeface="Aptos Narrow"/>
                </a:rPr>
                <a:pPr algn="ctr"/>
                <a:t>4445200.00</a:t>
              </a:fld>
              <a:endParaRPr lang="en-IN" sz="1600" b="1">
                <a:solidFill>
                  <a:schemeClr val="accent1"/>
                </a:solidFill>
              </a:endParaRPr>
            </a:p>
          </xdr:txBody>
        </xdr:sp>
      </xdr:grpSp>
    </xdr:grpSp>
    <xdr:clientData/>
  </xdr:twoCellAnchor>
  <xdr:twoCellAnchor editAs="oneCell">
    <xdr:from>
      <xdr:col>11</xdr:col>
      <xdr:colOff>409575</xdr:colOff>
      <xdr:row>6</xdr:row>
      <xdr:rowOff>57150</xdr:rowOff>
    </xdr:from>
    <xdr:to>
      <xdr:col>12</xdr:col>
      <xdr:colOff>159975</xdr:colOff>
      <xdr:row>8</xdr:row>
      <xdr:rowOff>36150</xdr:rowOff>
    </xdr:to>
    <xdr:pic>
      <xdr:nvPicPr>
        <xdr:cNvPr id="59" name="Graphic 58" descr="Flying Money with solid fill">
          <a:extLst>
            <a:ext uri="{FF2B5EF4-FFF2-40B4-BE49-F238E27FC236}">
              <a16:creationId xmlns:a16="http://schemas.microsoft.com/office/drawing/2014/main" id="{F7A21AC2-4B92-7FDC-8658-86D87CD504B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15175" y="1200150"/>
          <a:ext cx="360000" cy="360000"/>
        </a:xfrm>
        <a:prstGeom prst="rect">
          <a:avLst/>
        </a:prstGeom>
      </xdr:spPr>
    </xdr:pic>
    <xdr:clientData/>
  </xdr:twoCellAnchor>
  <xdr:twoCellAnchor editAs="oneCell">
    <xdr:from>
      <xdr:col>7</xdr:col>
      <xdr:colOff>521475</xdr:colOff>
      <xdr:row>6</xdr:row>
      <xdr:rowOff>26175</xdr:rowOff>
    </xdr:from>
    <xdr:to>
      <xdr:col>8</xdr:col>
      <xdr:colOff>271875</xdr:colOff>
      <xdr:row>8</xdr:row>
      <xdr:rowOff>5175</xdr:rowOff>
    </xdr:to>
    <xdr:pic>
      <xdr:nvPicPr>
        <xdr:cNvPr id="61" name="Graphic 60" descr="Money with solid fill">
          <a:extLst>
            <a:ext uri="{FF2B5EF4-FFF2-40B4-BE49-F238E27FC236}">
              <a16:creationId xmlns:a16="http://schemas.microsoft.com/office/drawing/2014/main" id="{8C686556-058E-BF7A-B615-F316DA0EE8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88675" y="1169175"/>
          <a:ext cx="360000" cy="360000"/>
        </a:xfrm>
        <a:prstGeom prst="rect">
          <a:avLst/>
        </a:prstGeom>
      </xdr:spPr>
    </xdr:pic>
    <xdr:clientData/>
  </xdr:twoCellAnchor>
  <xdr:twoCellAnchor editAs="oneCell">
    <xdr:from>
      <xdr:col>0</xdr:col>
      <xdr:colOff>99975</xdr:colOff>
      <xdr:row>6</xdr:row>
      <xdr:rowOff>61875</xdr:rowOff>
    </xdr:from>
    <xdr:to>
      <xdr:col>0</xdr:col>
      <xdr:colOff>459975</xdr:colOff>
      <xdr:row>8</xdr:row>
      <xdr:rowOff>40875</xdr:rowOff>
    </xdr:to>
    <xdr:pic>
      <xdr:nvPicPr>
        <xdr:cNvPr id="63" name="Graphic 62" descr="Treasure chest outline">
          <a:extLst>
            <a:ext uri="{FF2B5EF4-FFF2-40B4-BE49-F238E27FC236}">
              <a16:creationId xmlns:a16="http://schemas.microsoft.com/office/drawing/2014/main" id="{D362F7FE-E377-51AD-9FF0-702048637B2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975" y="1204875"/>
          <a:ext cx="360000" cy="360000"/>
        </a:xfrm>
        <a:prstGeom prst="rect">
          <a:avLst/>
        </a:prstGeom>
      </xdr:spPr>
    </xdr:pic>
    <xdr:clientData/>
  </xdr:twoCellAnchor>
  <xdr:twoCellAnchor editAs="oneCell">
    <xdr:from>
      <xdr:col>3</xdr:col>
      <xdr:colOff>602400</xdr:colOff>
      <xdr:row>6</xdr:row>
      <xdr:rowOff>78525</xdr:rowOff>
    </xdr:from>
    <xdr:to>
      <xdr:col>4</xdr:col>
      <xdr:colOff>352800</xdr:colOff>
      <xdr:row>8</xdr:row>
      <xdr:rowOff>57525</xdr:rowOff>
    </xdr:to>
    <xdr:pic>
      <xdr:nvPicPr>
        <xdr:cNvPr id="65" name="Graphic 64" descr="Coins with solid fill">
          <a:extLst>
            <a:ext uri="{FF2B5EF4-FFF2-40B4-BE49-F238E27FC236}">
              <a16:creationId xmlns:a16="http://schemas.microsoft.com/office/drawing/2014/main" id="{577541D9-A500-8AED-4F71-7C455DFA227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31200" y="1221525"/>
          <a:ext cx="360000" cy="360000"/>
        </a:xfrm>
        <a:prstGeom prst="rect">
          <a:avLst/>
        </a:prstGeom>
      </xdr:spPr>
    </xdr:pic>
    <xdr:clientData/>
  </xdr:twoCellAnchor>
  <xdr:twoCellAnchor editAs="oneCell">
    <xdr:from>
      <xdr:col>15</xdr:col>
      <xdr:colOff>142875</xdr:colOff>
      <xdr:row>5</xdr:row>
      <xdr:rowOff>28574</xdr:rowOff>
    </xdr:from>
    <xdr:to>
      <xdr:col>20</xdr:col>
      <xdr:colOff>600075</xdr:colOff>
      <xdr:row>9</xdr:row>
      <xdr:rowOff>133349</xdr:rowOff>
    </xdr:to>
    <mc:AlternateContent xmlns:mc="http://schemas.openxmlformats.org/markup-compatibility/2006" xmlns:a14="http://schemas.microsoft.com/office/drawing/2010/main">
      <mc:Choice Requires="a14">
        <xdr:graphicFrame macro="">
          <xdr:nvGraphicFramePr>
            <xdr:cNvPr id="69" name="Region 1">
              <a:extLst>
                <a:ext uri="{FF2B5EF4-FFF2-40B4-BE49-F238E27FC236}">
                  <a16:creationId xmlns:a16="http://schemas.microsoft.com/office/drawing/2014/main" id="{DD428A94-9C4C-47B9-8752-5E6F18BA9E3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363075" y="962026"/>
              <a:ext cx="3209925" cy="847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19</xdr:row>
      <xdr:rowOff>133349</xdr:rowOff>
    </xdr:from>
    <xdr:to>
      <xdr:col>3</xdr:col>
      <xdr:colOff>1</xdr:colOff>
      <xdr:row>33</xdr:row>
      <xdr:rowOff>76200</xdr:rowOff>
    </xdr:to>
    <mc:AlternateContent xmlns:mc="http://schemas.openxmlformats.org/markup-compatibility/2006" xmlns:a14="http://schemas.microsoft.com/office/drawing/2010/main">
      <mc:Choice Requires="a14">
        <xdr:graphicFrame macro="">
          <xdr:nvGraphicFramePr>
            <xdr:cNvPr id="70" name="Sales Person 1">
              <a:extLst>
                <a:ext uri="{FF2B5EF4-FFF2-40B4-BE49-F238E27FC236}">
                  <a16:creationId xmlns:a16="http://schemas.microsoft.com/office/drawing/2014/main" id="{FB44D02F-FBC1-442E-893C-D3C965AE74B7}"/>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28574" y="3790950"/>
              <a:ext cx="1819276"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9</xdr:row>
      <xdr:rowOff>85725</xdr:rowOff>
    </xdr:from>
    <xdr:to>
      <xdr:col>2</xdr:col>
      <xdr:colOff>533401</xdr:colOff>
      <xdr:row>19</xdr:row>
      <xdr:rowOff>123825</xdr:rowOff>
    </xdr:to>
    <mc:AlternateContent xmlns:mc="http://schemas.openxmlformats.org/markup-compatibility/2006" xmlns:a14="http://schemas.microsoft.com/office/drawing/2010/main">
      <mc:Choice Requires="a14">
        <xdr:graphicFrame macro="">
          <xdr:nvGraphicFramePr>
            <xdr:cNvPr id="71" name="Product 1">
              <a:extLst>
                <a:ext uri="{FF2B5EF4-FFF2-40B4-BE49-F238E27FC236}">
                  <a16:creationId xmlns:a16="http://schemas.microsoft.com/office/drawing/2014/main" id="{60339DD7-3D50-435E-9E7C-793A78A89F4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525" y="1828800"/>
              <a:ext cx="1743075" cy="1914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552450</xdr:colOff>
      <xdr:row>9</xdr:row>
      <xdr:rowOff>95250</xdr:rowOff>
    </xdr:from>
    <xdr:to>
      <xdr:col>11</xdr:col>
      <xdr:colOff>142875</xdr:colOff>
      <xdr:row>20</xdr:row>
      <xdr:rowOff>19051</xdr:rowOff>
    </xdr:to>
    <xdr:sp macro="" textlink="">
      <xdr:nvSpPr>
        <xdr:cNvPr id="72" name="Rectangle: Rounded Corners 71">
          <a:extLst>
            <a:ext uri="{FF2B5EF4-FFF2-40B4-BE49-F238E27FC236}">
              <a16:creationId xmlns:a16="http://schemas.microsoft.com/office/drawing/2014/main" id="{BDE97908-473A-40AB-BC99-6C59C10DAD58}"/>
            </a:ext>
          </a:extLst>
        </xdr:cNvPr>
        <xdr:cNvSpPr/>
      </xdr:nvSpPr>
      <xdr:spPr>
        <a:xfrm>
          <a:off x="1771650" y="1809750"/>
          <a:ext cx="5076825" cy="2019301"/>
        </a:xfrm>
        <a:prstGeom prst="roundRect">
          <a:avLst>
            <a:gd name="adj" fmla="val 5801"/>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Unit</a:t>
          </a:r>
          <a:r>
            <a:rPr lang="en-IN" sz="1200" b="1" baseline="0">
              <a:solidFill>
                <a:schemeClr val="accent1"/>
              </a:solidFill>
            </a:rPr>
            <a:t> Sold by Product</a:t>
          </a:r>
          <a:endParaRPr lang="en-IN" sz="1200" b="1">
            <a:solidFill>
              <a:schemeClr val="accent1"/>
            </a:solidFill>
          </a:endParaRPr>
        </a:p>
      </xdr:txBody>
    </xdr:sp>
    <xdr:clientData/>
  </xdr:twoCellAnchor>
  <xdr:twoCellAnchor>
    <xdr:from>
      <xdr:col>3</xdr:col>
      <xdr:colOff>123825</xdr:colOff>
      <xdr:row>11</xdr:row>
      <xdr:rowOff>114300</xdr:rowOff>
    </xdr:from>
    <xdr:to>
      <xdr:col>10</xdr:col>
      <xdr:colOff>542925</xdr:colOff>
      <xdr:row>19</xdr:row>
      <xdr:rowOff>95250</xdr:rowOff>
    </xdr:to>
    <xdr:graphicFrame macro="">
      <xdr:nvGraphicFramePr>
        <xdr:cNvPr id="2" name="Chart 1">
          <a:extLst>
            <a:ext uri="{FF2B5EF4-FFF2-40B4-BE49-F238E27FC236}">
              <a16:creationId xmlns:a16="http://schemas.microsoft.com/office/drawing/2014/main" id="{01D38445-24B6-448C-9FCD-BEAFF9961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152400</xdr:colOff>
      <xdr:row>9</xdr:row>
      <xdr:rowOff>95250</xdr:rowOff>
    </xdr:from>
    <xdr:to>
      <xdr:col>20</xdr:col>
      <xdr:colOff>590550</xdr:colOff>
      <xdr:row>20</xdr:row>
      <xdr:rowOff>9525</xdr:rowOff>
    </xdr:to>
    <xdr:sp macro="" textlink="">
      <xdr:nvSpPr>
        <xdr:cNvPr id="8" name="Rectangle: Rounded Corners 7">
          <a:extLst>
            <a:ext uri="{FF2B5EF4-FFF2-40B4-BE49-F238E27FC236}">
              <a16:creationId xmlns:a16="http://schemas.microsoft.com/office/drawing/2014/main" id="{91F639FD-FF13-4338-A266-026FE0EE1DDB}"/>
            </a:ext>
          </a:extLst>
        </xdr:cNvPr>
        <xdr:cNvSpPr/>
      </xdr:nvSpPr>
      <xdr:spPr>
        <a:xfrm>
          <a:off x="6858000" y="1809750"/>
          <a:ext cx="5924550" cy="2009775"/>
        </a:xfrm>
        <a:prstGeom prst="roundRect">
          <a:avLst>
            <a:gd name="adj" fmla="val 516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solidFill>
            </a:rPr>
            <a:t>Total Sales by Region</a:t>
          </a:r>
        </a:p>
      </xdr:txBody>
    </xdr:sp>
    <xdr:clientData/>
  </xdr:twoCellAnchor>
  <xdr:twoCellAnchor>
    <xdr:from>
      <xdr:col>3</xdr:col>
      <xdr:colOff>28576</xdr:colOff>
      <xdr:row>20</xdr:row>
      <xdr:rowOff>38100</xdr:rowOff>
    </xdr:from>
    <xdr:to>
      <xdr:col>11</xdr:col>
      <xdr:colOff>47625</xdr:colOff>
      <xdr:row>33</xdr:row>
      <xdr:rowOff>47625</xdr:rowOff>
    </xdr:to>
    <xdr:sp macro="" textlink="">
      <xdr:nvSpPr>
        <xdr:cNvPr id="9" name="Rectangle: Rounded Corners 8">
          <a:extLst>
            <a:ext uri="{FF2B5EF4-FFF2-40B4-BE49-F238E27FC236}">
              <a16:creationId xmlns:a16="http://schemas.microsoft.com/office/drawing/2014/main" id="{60C6A34F-857E-44FC-9EFE-048B5D966F78}"/>
            </a:ext>
          </a:extLst>
        </xdr:cNvPr>
        <xdr:cNvSpPr/>
      </xdr:nvSpPr>
      <xdr:spPr>
        <a:xfrm>
          <a:off x="1857376" y="3848100"/>
          <a:ext cx="4895849" cy="2486025"/>
        </a:xfrm>
        <a:prstGeom prst="roundRect">
          <a:avLst>
            <a:gd name="adj" fmla="val 516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solidFill>
            </a:rPr>
            <a:t>Total</a:t>
          </a:r>
          <a:r>
            <a:rPr lang="en-IN" sz="1600" b="1" baseline="0">
              <a:solidFill>
                <a:schemeClr val="accent1"/>
              </a:solidFill>
            </a:rPr>
            <a:t> Sales by Product</a:t>
          </a:r>
        </a:p>
        <a:p>
          <a:pPr algn="l"/>
          <a:endParaRPr lang="en-IN" sz="1600" b="1">
            <a:solidFill>
              <a:schemeClr val="accent1"/>
            </a:solidFill>
          </a:endParaRPr>
        </a:p>
      </xdr:txBody>
    </xdr:sp>
    <xdr:clientData/>
  </xdr:twoCellAnchor>
  <xdr:twoCellAnchor>
    <xdr:from>
      <xdr:col>11</xdr:col>
      <xdr:colOff>76200</xdr:colOff>
      <xdr:row>20</xdr:row>
      <xdr:rowOff>19050</xdr:rowOff>
    </xdr:from>
    <xdr:to>
      <xdr:col>20</xdr:col>
      <xdr:colOff>590550</xdr:colOff>
      <xdr:row>33</xdr:row>
      <xdr:rowOff>38100</xdr:rowOff>
    </xdr:to>
    <xdr:sp macro="" textlink="">
      <xdr:nvSpPr>
        <xdr:cNvPr id="10" name="Rectangle: Rounded Corners 9">
          <a:extLst>
            <a:ext uri="{FF2B5EF4-FFF2-40B4-BE49-F238E27FC236}">
              <a16:creationId xmlns:a16="http://schemas.microsoft.com/office/drawing/2014/main" id="{0C34C9E5-5DAC-4B70-B856-C2881780AB1E}"/>
            </a:ext>
          </a:extLst>
        </xdr:cNvPr>
        <xdr:cNvSpPr/>
      </xdr:nvSpPr>
      <xdr:spPr>
        <a:xfrm>
          <a:off x="6781800" y="3829050"/>
          <a:ext cx="6000750" cy="2495550"/>
        </a:xfrm>
        <a:prstGeom prst="roundRect">
          <a:avLst>
            <a:gd name="adj" fmla="val 206"/>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solidFill>
            </a:rPr>
            <a:t>Total</a:t>
          </a:r>
          <a:r>
            <a:rPr lang="en-IN" sz="1600" b="1" baseline="0">
              <a:solidFill>
                <a:schemeClr val="accent1"/>
              </a:solidFill>
            </a:rPr>
            <a:t> Sales by Sales Person</a:t>
          </a:r>
        </a:p>
        <a:p>
          <a:pPr algn="l"/>
          <a:endParaRPr lang="en-IN" sz="1600" b="1">
            <a:solidFill>
              <a:schemeClr val="accent1"/>
            </a:solidFill>
          </a:endParaRPr>
        </a:p>
      </xdr:txBody>
    </xdr:sp>
    <xdr:clientData/>
  </xdr:twoCellAnchor>
  <xdr:twoCellAnchor>
    <xdr:from>
      <xdr:col>11</xdr:col>
      <xdr:colOff>352425</xdr:colOff>
      <xdr:row>11</xdr:row>
      <xdr:rowOff>133350</xdr:rowOff>
    </xdr:from>
    <xdr:to>
      <xdr:col>20</xdr:col>
      <xdr:colOff>228599</xdr:colOff>
      <xdr:row>19</xdr:row>
      <xdr:rowOff>47625</xdr:rowOff>
    </xdr:to>
    <xdr:graphicFrame macro="">
      <xdr:nvGraphicFramePr>
        <xdr:cNvPr id="12" name="Chart 11">
          <a:extLst>
            <a:ext uri="{FF2B5EF4-FFF2-40B4-BE49-F238E27FC236}">
              <a16:creationId xmlns:a16="http://schemas.microsoft.com/office/drawing/2014/main" id="{84A1E9C1-53B6-45B0-84B3-8D8B3D794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219075</xdr:colOff>
      <xdr:row>22</xdr:row>
      <xdr:rowOff>19049</xdr:rowOff>
    </xdr:from>
    <xdr:to>
      <xdr:col>10</xdr:col>
      <xdr:colOff>504825</xdr:colOff>
      <xdr:row>31</xdr:row>
      <xdr:rowOff>104775</xdr:rowOff>
    </xdr:to>
    <xdr:graphicFrame macro="">
      <xdr:nvGraphicFramePr>
        <xdr:cNvPr id="13" name="Chart 12">
          <a:extLst>
            <a:ext uri="{FF2B5EF4-FFF2-40B4-BE49-F238E27FC236}">
              <a16:creationId xmlns:a16="http://schemas.microsoft.com/office/drawing/2014/main" id="{F48CD06D-A0F4-4732-8EF0-7F4DDBAD8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247649</xdr:colOff>
      <xdr:row>21</xdr:row>
      <xdr:rowOff>123825</xdr:rowOff>
    </xdr:from>
    <xdr:to>
      <xdr:col>20</xdr:col>
      <xdr:colOff>295274</xdr:colOff>
      <xdr:row>31</xdr:row>
      <xdr:rowOff>66675</xdr:rowOff>
    </xdr:to>
    <xdr:graphicFrame macro="">
      <xdr:nvGraphicFramePr>
        <xdr:cNvPr id="14" name="Chart 13">
          <a:extLst>
            <a:ext uri="{FF2B5EF4-FFF2-40B4-BE49-F238E27FC236}">
              <a16:creationId xmlns:a16="http://schemas.microsoft.com/office/drawing/2014/main" id="{22CA6943-9FE6-4991-BE17-EEF63CE11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209550</xdr:colOff>
      <xdr:row>11</xdr:row>
      <xdr:rowOff>33337</xdr:rowOff>
    </xdr:from>
    <xdr:to>
      <xdr:col>10</xdr:col>
      <xdr:colOff>514350</xdr:colOff>
      <xdr:row>25</xdr:row>
      <xdr:rowOff>109537</xdr:rowOff>
    </xdr:to>
    <xdr:graphicFrame macro="">
      <xdr:nvGraphicFramePr>
        <xdr:cNvPr id="2" name="Chart 1">
          <a:extLst>
            <a:ext uri="{FF2B5EF4-FFF2-40B4-BE49-F238E27FC236}">
              <a16:creationId xmlns:a16="http://schemas.microsoft.com/office/drawing/2014/main" id="{7A6838B1-F7E0-FAC1-643F-B8177BCA9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361950</xdr:colOff>
      <xdr:row>10</xdr:row>
      <xdr:rowOff>180975</xdr:rowOff>
    </xdr:from>
    <xdr:to>
      <xdr:col>3</xdr:col>
      <xdr:colOff>400050</xdr:colOff>
      <xdr:row>24</xdr:row>
      <xdr:rowOff>180975</xdr:rowOff>
    </xdr:to>
    <mc:AlternateContent xmlns:mc="http://schemas.openxmlformats.org/markup-compatibility/2006" xmlns:a14="http://schemas.microsoft.com/office/drawing/2010/main">
      <mc:Choice Requires="a14">
        <xdr:graphicFrame macro="">
          <xdr:nvGraphicFramePr>
            <xdr:cNvPr id="3" name="Sales Person">
              <a:extLst>
                <a:ext uri="{FF2B5EF4-FFF2-40B4-BE49-F238E27FC236}">
                  <a16:creationId xmlns:a16="http://schemas.microsoft.com/office/drawing/2014/main" id="{CC292FC3-6D5C-BFB5-392F-A98C7F10E1EE}"/>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257300" y="20859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495300</xdr:colOff>
      <xdr:row>3</xdr:row>
      <xdr:rowOff>9526</xdr:rowOff>
    </xdr:from>
    <xdr:to>
      <xdr:col>9</xdr:col>
      <xdr:colOff>495300</xdr:colOff>
      <xdr:row>8</xdr:row>
      <xdr:rowOff>85725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FB29186D-0912-1F15-D6BC-C3D597E7C7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10150" y="581026"/>
              <a:ext cx="1828800"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504825</xdr:colOff>
      <xdr:row>5</xdr:row>
      <xdr:rowOff>133350</xdr:rowOff>
    </xdr:from>
    <xdr:to>
      <xdr:col>12</xdr:col>
      <xdr:colOff>504825</xdr:colOff>
      <xdr:row>19</xdr:row>
      <xdr:rowOff>133350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8A1C13C5-2882-1255-4431-BA23D0EE8F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848475" y="10858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276225</xdr:colOff>
      <xdr:row>2</xdr:row>
      <xdr:rowOff>185736</xdr:rowOff>
    </xdr:from>
    <xdr:to>
      <xdr:col>10</xdr:col>
      <xdr:colOff>257175</xdr:colOff>
      <xdr:row>17</xdr:row>
      <xdr:rowOff>114299</xdr:rowOff>
    </xdr:to>
    <xdr:graphicFrame macro="">
      <xdr:nvGraphicFramePr>
        <xdr:cNvPr id="2" name="Chart 1">
          <a:extLst>
            <a:ext uri="{FF2B5EF4-FFF2-40B4-BE49-F238E27FC236}">
              <a16:creationId xmlns:a16="http://schemas.microsoft.com/office/drawing/2014/main" id="{F0092858-879F-6B9D-356A-7D920D3B1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366712</xdr:colOff>
      <xdr:row>2</xdr:row>
      <xdr:rowOff>185737</xdr:rowOff>
    </xdr:from>
    <xdr:to>
      <xdr:col>10</xdr:col>
      <xdr:colOff>61912</xdr:colOff>
      <xdr:row>17</xdr:row>
      <xdr:rowOff>71437</xdr:rowOff>
    </xdr:to>
    <xdr:graphicFrame macro="">
      <xdr:nvGraphicFramePr>
        <xdr:cNvPr id="3" name="Chart 2">
          <a:extLst>
            <a:ext uri="{FF2B5EF4-FFF2-40B4-BE49-F238E27FC236}">
              <a16:creationId xmlns:a16="http://schemas.microsoft.com/office/drawing/2014/main" id="{C8703C1D-2857-3531-9E25-937CCF753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295275</xdr:colOff>
      <xdr:row>2</xdr:row>
      <xdr:rowOff>185737</xdr:rowOff>
    </xdr:from>
    <xdr:to>
      <xdr:col>9</xdr:col>
      <xdr:colOff>600075</xdr:colOff>
      <xdr:row>17</xdr:row>
      <xdr:rowOff>71437</xdr:rowOff>
    </xdr:to>
    <xdr:graphicFrame macro="">
      <xdr:nvGraphicFramePr>
        <xdr:cNvPr id="3" name="Chart 2">
          <a:extLst>
            <a:ext uri="{FF2B5EF4-FFF2-40B4-BE49-F238E27FC236}">
              <a16:creationId xmlns:a16="http://schemas.microsoft.com/office/drawing/2014/main" id="{DBA1F7A4-080B-541C-B9E7-AEF9F4954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323.506038194442" createdVersion="8" refreshedVersion="8" minRefreshableVersion="3" recordCount="100" xr:uid="{206DFC74-4B8D-43D1-B8A1-494E729170F4}">
  <cacheSource type="worksheet">
    <worksheetSource name="Table1"/>
  </cacheSource>
  <cacheFields count="9">
    <cacheField name="Date" numFmtId="165">
      <sharedItems/>
    </cacheField>
    <cacheField name="Sales Person" numFmtId="0">
      <sharedItems count="10">
        <s v="Sneha"/>
        <s v="Priya"/>
        <s v="Sanjay"/>
        <s v="Divya"/>
        <s v="Arun"/>
        <s v="Anitha"/>
        <s v="Vijay"/>
        <s v="Rahul"/>
        <s v="Karthik"/>
        <s v="Meena"/>
      </sharedItems>
    </cacheField>
    <cacheField name="Region" numFmtId="0">
      <sharedItems count="5">
        <s v="West"/>
        <s v="Central"/>
        <s v="South"/>
        <s v="North"/>
        <s v="East"/>
      </sharedItems>
    </cacheField>
    <cacheField name="Product" numFmtId="0">
      <sharedItems count="10">
        <s v="Mouse"/>
        <s v="Tablet"/>
        <s v="Headphones"/>
        <s v="Smartphone"/>
        <s v="Printer"/>
        <s v="Webcam"/>
        <s v="Monitor"/>
        <s v="Laptop"/>
        <s v="Smartwatch"/>
        <s v="Keyboard"/>
      </sharedItems>
    </cacheField>
    <cacheField name="Units Sold" numFmtId="0">
      <sharedItems containsSemiMixedTypes="0" containsString="0" containsNumber="1" containsInteger="1" minValue="1" maxValue="25"/>
    </cacheField>
    <cacheField name="Unit Price" numFmtId="164">
      <sharedItems containsSemiMixedTypes="0" containsString="0" containsNumber="1" containsInteger="1" minValue="900" maxValue="45000"/>
    </cacheField>
    <cacheField name="Cost Of Goods" numFmtId="164">
      <sharedItems containsSemiMixedTypes="0" containsString="0" containsNumber="1" containsInteger="1" minValue="400" maxValue="32000"/>
    </cacheField>
    <cacheField name="Total Sales" numFmtId="164">
      <sharedItems containsSemiMixedTypes="0" containsString="0" containsNumber="1" containsInteger="1" minValue="1800" maxValue="900000"/>
    </cacheField>
    <cacheField name="Profit" numFmtId="164">
      <sharedItems containsSemiMixedTypes="0" containsString="0" containsNumber="1" containsInteger="1" minValue="900" maxValue="260000"/>
    </cacheField>
  </cacheFields>
  <extLst>
    <ext xmlns:x14="http://schemas.microsoft.com/office/spreadsheetml/2009/9/main" uri="{725AE2AE-9491-48be-B2B4-4EB974FC3084}">
      <x14:pivotCacheDefinition pivotCacheId="80899628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2025-01-17"/>
    <x v="0"/>
    <x v="0"/>
    <x v="0"/>
    <n v="3"/>
    <n v="900"/>
    <n v="400"/>
    <n v="2700"/>
    <n v="1500"/>
  </r>
  <r>
    <s v="2025-01-20"/>
    <x v="1"/>
    <x v="1"/>
    <x v="1"/>
    <n v="12"/>
    <n v="18000"/>
    <n v="12000"/>
    <n v="216000"/>
    <n v="72000"/>
  </r>
  <r>
    <s v="2025-01-25"/>
    <x v="1"/>
    <x v="2"/>
    <x v="2"/>
    <n v="22"/>
    <n v="2500"/>
    <n v="1200"/>
    <n v="55000"/>
    <n v="28600"/>
  </r>
  <r>
    <s v="2025-01-28"/>
    <x v="1"/>
    <x v="3"/>
    <x v="1"/>
    <n v="24"/>
    <n v="18000"/>
    <n v="12000"/>
    <n v="432000"/>
    <n v="144000"/>
  </r>
  <r>
    <s v="2025-01-30"/>
    <x v="2"/>
    <x v="3"/>
    <x v="2"/>
    <n v="3"/>
    <n v="2500"/>
    <n v="1200"/>
    <n v="7500"/>
    <n v="3900"/>
  </r>
  <r>
    <s v="2025-02-04"/>
    <x v="3"/>
    <x v="0"/>
    <x v="3"/>
    <n v="19"/>
    <n v="22000"/>
    <n v="15000"/>
    <n v="418000"/>
    <n v="133000"/>
  </r>
  <r>
    <s v="2025-02-06"/>
    <x v="4"/>
    <x v="2"/>
    <x v="3"/>
    <n v="2"/>
    <n v="22000"/>
    <n v="15000"/>
    <n v="44000"/>
    <n v="14000"/>
  </r>
  <r>
    <s v="2025-02-06"/>
    <x v="5"/>
    <x v="2"/>
    <x v="4"/>
    <n v="24"/>
    <n v="9500"/>
    <n v="6500"/>
    <n v="228000"/>
    <n v="72000"/>
  </r>
  <r>
    <s v="2025-02-10"/>
    <x v="1"/>
    <x v="0"/>
    <x v="3"/>
    <n v="25"/>
    <n v="22000"/>
    <n v="15000"/>
    <n v="550000"/>
    <n v="175000"/>
  </r>
  <r>
    <s v="2025-02-11"/>
    <x v="6"/>
    <x v="1"/>
    <x v="5"/>
    <n v="17"/>
    <n v="3200"/>
    <n v="1700"/>
    <n v="54400"/>
    <n v="25500"/>
  </r>
  <r>
    <s v="2025-02-17"/>
    <x v="6"/>
    <x v="3"/>
    <x v="6"/>
    <n v="12"/>
    <n v="12000"/>
    <n v="8000"/>
    <n v="144000"/>
    <n v="48000"/>
  </r>
  <r>
    <s v="2025-02-17"/>
    <x v="6"/>
    <x v="4"/>
    <x v="7"/>
    <n v="1"/>
    <n v="45000"/>
    <n v="32000"/>
    <n v="45000"/>
    <n v="13000"/>
  </r>
  <r>
    <s v="2025-02-17"/>
    <x v="3"/>
    <x v="2"/>
    <x v="1"/>
    <n v="16"/>
    <n v="18000"/>
    <n v="12000"/>
    <n v="288000"/>
    <n v="96000"/>
  </r>
  <r>
    <s v="2025-02-25"/>
    <x v="6"/>
    <x v="3"/>
    <x v="8"/>
    <n v="8"/>
    <n v="6500"/>
    <n v="3500"/>
    <n v="52000"/>
    <n v="24000"/>
  </r>
  <r>
    <s v="2025-02-27"/>
    <x v="4"/>
    <x v="4"/>
    <x v="9"/>
    <n v="8"/>
    <n v="1800"/>
    <n v="900"/>
    <n v="14400"/>
    <n v="7200"/>
  </r>
  <r>
    <s v="2025-02-27"/>
    <x v="1"/>
    <x v="2"/>
    <x v="4"/>
    <n v="2"/>
    <n v="9500"/>
    <n v="6500"/>
    <n v="19000"/>
    <n v="6000"/>
  </r>
  <r>
    <s v="2025-02-28"/>
    <x v="2"/>
    <x v="4"/>
    <x v="6"/>
    <n v="4"/>
    <n v="12000"/>
    <n v="8000"/>
    <n v="48000"/>
    <n v="16000"/>
  </r>
  <r>
    <s v="2025-03-01"/>
    <x v="7"/>
    <x v="2"/>
    <x v="5"/>
    <n v="9"/>
    <n v="3200"/>
    <n v="1700"/>
    <n v="28800"/>
    <n v="13500"/>
  </r>
  <r>
    <s v="2025-03-01"/>
    <x v="1"/>
    <x v="1"/>
    <x v="2"/>
    <n v="9"/>
    <n v="2500"/>
    <n v="1200"/>
    <n v="22500"/>
    <n v="11700"/>
  </r>
  <r>
    <s v="2025-03-07"/>
    <x v="4"/>
    <x v="4"/>
    <x v="6"/>
    <n v="2"/>
    <n v="12000"/>
    <n v="8000"/>
    <n v="24000"/>
    <n v="8000"/>
  </r>
  <r>
    <s v="2025-03-13"/>
    <x v="3"/>
    <x v="1"/>
    <x v="4"/>
    <n v="9"/>
    <n v="9500"/>
    <n v="6500"/>
    <n v="85500"/>
    <n v="27000"/>
  </r>
  <r>
    <s v="2025-03-13"/>
    <x v="1"/>
    <x v="1"/>
    <x v="3"/>
    <n v="19"/>
    <n v="22000"/>
    <n v="15000"/>
    <n v="418000"/>
    <n v="133000"/>
  </r>
  <r>
    <s v="2025-03-25"/>
    <x v="8"/>
    <x v="0"/>
    <x v="7"/>
    <n v="6"/>
    <n v="45000"/>
    <n v="32000"/>
    <n v="270000"/>
    <n v="78000"/>
  </r>
  <r>
    <s v="2025-03-26"/>
    <x v="7"/>
    <x v="1"/>
    <x v="5"/>
    <n v="14"/>
    <n v="3200"/>
    <n v="1700"/>
    <n v="44800"/>
    <n v="21000"/>
  </r>
  <r>
    <s v="2025-04-08"/>
    <x v="7"/>
    <x v="2"/>
    <x v="7"/>
    <n v="19"/>
    <n v="45000"/>
    <n v="32000"/>
    <n v="855000"/>
    <n v="247000"/>
  </r>
  <r>
    <s v="2025-04-11"/>
    <x v="0"/>
    <x v="0"/>
    <x v="3"/>
    <n v="22"/>
    <n v="22000"/>
    <n v="15000"/>
    <n v="484000"/>
    <n v="154000"/>
  </r>
  <r>
    <s v="2025-04-12"/>
    <x v="2"/>
    <x v="0"/>
    <x v="9"/>
    <n v="15"/>
    <n v="1800"/>
    <n v="900"/>
    <n v="27000"/>
    <n v="13500"/>
  </r>
  <r>
    <s v="2025-04-13"/>
    <x v="9"/>
    <x v="4"/>
    <x v="0"/>
    <n v="8"/>
    <n v="900"/>
    <n v="400"/>
    <n v="7200"/>
    <n v="4000"/>
  </r>
  <r>
    <s v="2025-04-19"/>
    <x v="2"/>
    <x v="2"/>
    <x v="0"/>
    <n v="13"/>
    <n v="900"/>
    <n v="400"/>
    <n v="11700"/>
    <n v="6500"/>
  </r>
  <r>
    <s v="2025-04-19"/>
    <x v="5"/>
    <x v="4"/>
    <x v="9"/>
    <n v="21"/>
    <n v="1800"/>
    <n v="900"/>
    <n v="37800"/>
    <n v="18900"/>
  </r>
  <r>
    <s v="2025-04-23"/>
    <x v="8"/>
    <x v="1"/>
    <x v="8"/>
    <n v="3"/>
    <n v="6500"/>
    <n v="3500"/>
    <n v="19500"/>
    <n v="9000"/>
  </r>
  <r>
    <s v="2025-04-25"/>
    <x v="4"/>
    <x v="2"/>
    <x v="1"/>
    <n v="11"/>
    <n v="18000"/>
    <n v="12000"/>
    <n v="198000"/>
    <n v="66000"/>
  </r>
  <r>
    <s v="2025-04-27"/>
    <x v="7"/>
    <x v="3"/>
    <x v="9"/>
    <n v="4"/>
    <n v="1800"/>
    <n v="900"/>
    <n v="7200"/>
    <n v="3600"/>
  </r>
  <r>
    <s v="2025-04-30"/>
    <x v="2"/>
    <x v="1"/>
    <x v="7"/>
    <n v="18"/>
    <n v="45000"/>
    <n v="32000"/>
    <n v="810000"/>
    <n v="234000"/>
  </r>
  <r>
    <s v="2025-05-06"/>
    <x v="8"/>
    <x v="0"/>
    <x v="1"/>
    <n v="9"/>
    <n v="18000"/>
    <n v="12000"/>
    <n v="162000"/>
    <n v="54000"/>
  </r>
  <r>
    <s v="2025-05-06"/>
    <x v="0"/>
    <x v="4"/>
    <x v="2"/>
    <n v="15"/>
    <n v="2500"/>
    <n v="1200"/>
    <n v="37500"/>
    <n v="19500"/>
  </r>
  <r>
    <s v="2025-05-07"/>
    <x v="3"/>
    <x v="3"/>
    <x v="6"/>
    <n v="1"/>
    <n v="12000"/>
    <n v="8000"/>
    <n v="12000"/>
    <n v="4000"/>
  </r>
  <r>
    <s v="2025-05-07"/>
    <x v="5"/>
    <x v="1"/>
    <x v="7"/>
    <n v="20"/>
    <n v="45000"/>
    <n v="32000"/>
    <n v="900000"/>
    <n v="260000"/>
  </r>
  <r>
    <s v="2025-05-15"/>
    <x v="2"/>
    <x v="2"/>
    <x v="4"/>
    <n v="4"/>
    <n v="9500"/>
    <n v="6500"/>
    <n v="38000"/>
    <n v="12000"/>
  </r>
  <r>
    <s v="2025-05-16"/>
    <x v="6"/>
    <x v="2"/>
    <x v="0"/>
    <n v="15"/>
    <n v="900"/>
    <n v="400"/>
    <n v="13500"/>
    <n v="7500"/>
  </r>
  <r>
    <s v="2025-05-16"/>
    <x v="2"/>
    <x v="0"/>
    <x v="0"/>
    <n v="2"/>
    <n v="900"/>
    <n v="400"/>
    <n v="1800"/>
    <n v="1000"/>
  </r>
  <r>
    <s v="2025-05-16"/>
    <x v="4"/>
    <x v="0"/>
    <x v="4"/>
    <n v="4"/>
    <n v="9500"/>
    <n v="6500"/>
    <n v="38000"/>
    <n v="12000"/>
  </r>
  <r>
    <s v="2025-05-23"/>
    <x v="1"/>
    <x v="4"/>
    <x v="6"/>
    <n v="21"/>
    <n v="12000"/>
    <n v="8000"/>
    <n v="252000"/>
    <n v="84000"/>
  </r>
  <r>
    <s v="2025-05-23"/>
    <x v="9"/>
    <x v="2"/>
    <x v="3"/>
    <n v="15"/>
    <n v="22000"/>
    <n v="15000"/>
    <n v="330000"/>
    <n v="105000"/>
  </r>
  <r>
    <s v="2025-05-23"/>
    <x v="4"/>
    <x v="2"/>
    <x v="1"/>
    <n v="11"/>
    <n v="18000"/>
    <n v="12000"/>
    <n v="198000"/>
    <n v="66000"/>
  </r>
  <r>
    <s v="2025-05-23"/>
    <x v="8"/>
    <x v="2"/>
    <x v="6"/>
    <n v="4"/>
    <n v="12000"/>
    <n v="8000"/>
    <n v="48000"/>
    <n v="16000"/>
  </r>
  <r>
    <s v="2025-05-25"/>
    <x v="5"/>
    <x v="2"/>
    <x v="6"/>
    <n v="7"/>
    <n v="12000"/>
    <n v="8000"/>
    <n v="84000"/>
    <n v="28000"/>
  </r>
  <r>
    <s v="2025-05-27"/>
    <x v="6"/>
    <x v="1"/>
    <x v="8"/>
    <n v="5"/>
    <n v="6500"/>
    <n v="3500"/>
    <n v="32500"/>
    <n v="15000"/>
  </r>
  <r>
    <s v="2025-05-27"/>
    <x v="3"/>
    <x v="0"/>
    <x v="5"/>
    <n v="20"/>
    <n v="3200"/>
    <n v="1700"/>
    <n v="64000"/>
    <n v="30000"/>
  </r>
  <r>
    <s v="2025-05-31"/>
    <x v="6"/>
    <x v="2"/>
    <x v="8"/>
    <n v="1"/>
    <n v="6500"/>
    <n v="3500"/>
    <n v="6500"/>
    <n v="3000"/>
  </r>
  <r>
    <s v="2025-06-02"/>
    <x v="2"/>
    <x v="1"/>
    <x v="9"/>
    <n v="5"/>
    <n v="1800"/>
    <n v="900"/>
    <n v="9000"/>
    <n v="4500"/>
  </r>
  <r>
    <s v="2025-06-03"/>
    <x v="2"/>
    <x v="4"/>
    <x v="1"/>
    <n v="11"/>
    <n v="18000"/>
    <n v="12000"/>
    <n v="198000"/>
    <n v="66000"/>
  </r>
  <r>
    <s v="2025-06-04"/>
    <x v="6"/>
    <x v="1"/>
    <x v="7"/>
    <n v="10"/>
    <n v="45000"/>
    <n v="32000"/>
    <n v="450000"/>
    <n v="130000"/>
  </r>
  <r>
    <s v="2025-06-07"/>
    <x v="3"/>
    <x v="3"/>
    <x v="9"/>
    <n v="19"/>
    <n v="1800"/>
    <n v="900"/>
    <n v="34200"/>
    <n v="17100"/>
  </r>
  <r>
    <s v="2025-06-10"/>
    <x v="6"/>
    <x v="1"/>
    <x v="4"/>
    <n v="4"/>
    <n v="9500"/>
    <n v="6500"/>
    <n v="38000"/>
    <n v="12000"/>
  </r>
  <r>
    <s v="2025-06-11"/>
    <x v="1"/>
    <x v="3"/>
    <x v="8"/>
    <n v="20"/>
    <n v="6500"/>
    <n v="3500"/>
    <n v="130000"/>
    <n v="60000"/>
  </r>
  <r>
    <s v="2025-06-11"/>
    <x v="7"/>
    <x v="2"/>
    <x v="6"/>
    <n v="8"/>
    <n v="12000"/>
    <n v="8000"/>
    <n v="96000"/>
    <n v="32000"/>
  </r>
  <r>
    <s v="2025-06-15"/>
    <x v="9"/>
    <x v="3"/>
    <x v="3"/>
    <n v="12"/>
    <n v="22000"/>
    <n v="15000"/>
    <n v="264000"/>
    <n v="84000"/>
  </r>
  <r>
    <s v="2025-06-19"/>
    <x v="1"/>
    <x v="1"/>
    <x v="9"/>
    <n v="9"/>
    <n v="1800"/>
    <n v="900"/>
    <n v="16200"/>
    <n v="8100"/>
  </r>
  <r>
    <s v="2025-06-19"/>
    <x v="5"/>
    <x v="4"/>
    <x v="3"/>
    <n v="24"/>
    <n v="22000"/>
    <n v="15000"/>
    <n v="528000"/>
    <n v="168000"/>
  </r>
  <r>
    <s v="2025-06-20"/>
    <x v="6"/>
    <x v="2"/>
    <x v="0"/>
    <n v="6"/>
    <n v="900"/>
    <n v="400"/>
    <n v="5400"/>
    <n v="3000"/>
  </r>
  <r>
    <s v="2025-06-20"/>
    <x v="8"/>
    <x v="4"/>
    <x v="2"/>
    <n v="24"/>
    <n v="2500"/>
    <n v="1200"/>
    <n v="60000"/>
    <n v="31200"/>
  </r>
  <r>
    <s v="2025-06-23"/>
    <x v="1"/>
    <x v="2"/>
    <x v="9"/>
    <n v="7"/>
    <n v="1800"/>
    <n v="900"/>
    <n v="12600"/>
    <n v="6300"/>
  </r>
  <r>
    <s v="2025-07-03"/>
    <x v="3"/>
    <x v="2"/>
    <x v="3"/>
    <n v="12"/>
    <n v="22000"/>
    <n v="15000"/>
    <n v="264000"/>
    <n v="84000"/>
  </r>
  <r>
    <s v="2025-07-05"/>
    <x v="5"/>
    <x v="2"/>
    <x v="3"/>
    <n v="2"/>
    <n v="22000"/>
    <n v="15000"/>
    <n v="44000"/>
    <n v="14000"/>
  </r>
  <r>
    <s v="2025-07-09"/>
    <x v="0"/>
    <x v="2"/>
    <x v="0"/>
    <n v="23"/>
    <n v="900"/>
    <n v="400"/>
    <n v="20700"/>
    <n v="11500"/>
  </r>
  <r>
    <s v="2025-07-09"/>
    <x v="5"/>
    <x v="1"/>
    <x v="2"/>
    <n v="14"/>
    <n v="2500"/>
    <n v="1200"/>
    <n v="35000"/>
    <n v="18200"/>
  </r>
  <r>
    <s v="2025-07-11"/>
    <x v="9"/>
    <x v="1"/>
    <x v="8"/>
    <n v="4"/>
    <n v="6500"/>
    <n v="3500"/>
    <n v="26000"/>
    <n v="12000"/>
  </r>
  <r>
    <s v="2025-07-11"/>
    <x v="8"/>
    <x v="1"/>
    <x v="4"/>
    <n v="1"/>
    <n v="9500"/>
    <n v="6500"/>
    <n v="9500"/>
    <n v="3000"/>
  </r>
  <r>
    <s v="2025-07-13"/>
    <x v="1"/>
    <x v="1"/>
    <x v="0"/>
    <n v="21"/>
    <n v="900"/>
    <n v="400"/>
    <n v="18900"/>
    <n v="10500"/>
  </r>
  <r>
    <s v="2025-07-14"/>
    <x v="4"/>
    <x v="0"/>
    <x v="0"/>
    <n v="15"/>
    <n v="900"/>
    <n v="400"/>
    <n v="13500"/>
    <n v="7500"/>
  </r>
  <r>
    <s v="2025-07-14"/>
    <x v="7"/>
    <x v="0"/>
    <x v="6"/>
    <n v="6"/>
    <n v="12000"/>
    <n v="8000"/>
    <n v="72000"/>
    <n v="24000"/>
  </r>
  <r>
    <s v="2025-07-17"/>
    <x v="5"/>
    <x v="2"/>
    <x v="0"/>
    <n v="2"/>
    <n v="900"/>
    <n v="400"/>
    <n v="1800"/>
    <n v="1000"/>
  </r>
  <r>
    <s v="2025-07-26"/>
    <x v="7"/>
    <x v="1"/>
    <x v="2"/>
    <n v="7"/>
    <n v="2500"/>
    <n v="1200"/>
    <n v="17500"/>
    <n v="9100"/>
  </r>
  <r>
    <s v="2025-07-28"/>
    <x v="3"/>
    <x v="3"/>
    <x v="3"/>
    <n v="22"/>
    <n v="22000"/>
    <n v="15000"/>
    <n v="484000"/>
    <n v="154000"/>
  </r>
  <r>
    <s v="2025-08-04"/>
    <x v="6"/>
    <x v="2"/>
    <x v="5"/>
    <n v="19"/>
    <n v="3200"/>
    <n v="1700"/>
    <n v="60800"/>
    <n v="28500"/>
  </r>
  <r>
    <s v="2025-08-05"/>
    <x v="5"/>
    <x v="3"/>
    <x v="1"/>
    <n v="13"/>
    <n v="18000"/>
    <n v="12000"/>
    <n v="234000"/>
    <n v="78000"/>
  </r>
  <r>
    <s v="2025-08-05"/>
    <x v="4"/>
    <x v="3"/>
    <x v="3"/>
    <n v="7"/>
    <n v="22000"/>
    <n v="15000"/>
    <n v="154000"/>
    <n v="49000"/>
  </r>
  <r>
    <s v="2025-08-09"/>
    <x v="0"/>
    <x v="0"/>
    <x v="1"/>
    <n v="15"/>
    <n v="18000"/>
    <n v="12000"/>
    <n v="270000"/>
    <n v="90000"/>
  </r>
  <r>
    <s v="2025-08-12"/>
    <x v="4"/>
    <x v="1"/>
    <x v="4"/>
    <n v="22"/>
    <n v="9500"/>
    <n v="6500"/>
    <n v="209000"/>
    <n v="66000"/>
  </r>
  <r>
    <s v="2025-08-15"/>
    <x v="2"/>
    <x v="0"/>
    <x v="4"/>
    <n v="1"/>
    <n v="9500"/>
    <n v="6500"/>
    <n v="9500"/>
    <n v="3000"/>
  </r>
  <r>
    <s v="2025-08-28"/>
    <x v="2"/>
    <x v="4"/>
    <x v="4"/>
    <n v="1"/>
    <n v="9500"/>
    <n v="6500"/>
    <n v="9500"/>
    <n v="3000"/>
  </r>
  <r>
    <s v="2025-09-04"/>
    <x v="3"/>
    <x v="0"/>
    <x v="7"/>
    <n v="6"/>
    <n v="45000"/>
    <n v="32000"/>
    <n v="270000"/>
    <n v="78000"/>
  </r>
  <r>
    <s v="2025-09-06"/>
    <x v="3"/>
    <x v="1"/>
    <x v="2"/>
    <n v="24"/>
    <n v="2500"/>
    <n v="1200"/>
    <n v="60000"/>
    <n v="31200"/>
  </r>
  <r>
    <s v="2025-09-13"/>
    <x v="6"/>
    <x v="0"/>
    <x v="2"/>
    <n v="9"/>
    <n v="2500"/>
    <n v="1200"/>
    <n v="22500"/>
    <n v="11700"/>
  </r>
  <r>
    <s v="2025-09-17"/>
    <x v="7"/>
    <x v="2"/>
    <x v="6"/>
    <n v="3"/>
    <n v="12000"/>
    <n v="8000"/>
    <n v="36000"/>
    <n v="12000"/>
  </r>
  <r>
    <s v="2025-09-18"/>
    <x v="6"/>
    <x v="1"/>
    <x v="6"/>
    <n v="1"/>
    <n v="12000"/>
    <n v="8000"/>
    <n v="12000"/>
    <n v="4000"/>
  </r>
  <r>
    <s v="2025-09-30"/>
    <x v="8"/>
    <x v="2"/>
    <x v="8"/>
    <n v="18"/>
    <n v="6500"/>
    <n v="3500"/>
    <n v="117000"/>
    <n v="54000"/>
  </r>
  <r>
    <s v="2025-10-02"/>
    <x v="9"/>
    <x v="2"/>
    <x v="1"/>
    <n v="6"/>
    <n v="18000"/>
    <n v="12000"/>
    <n v="108000"/>
    <n v="36000"/>
  </r>
  <r>
    <s v="2025-10-05"/>
    <x v="4"/>
    <x v="4"/>
    <x v="7"/>
    <n v="2"/>
    <n v="45000"/>
    <n v="32000"/>
    <n v="90000"/>
    <n v="26000"/>
  </r>
  <r>
    <s v="2025-10-06"/>
    <x v="7"/>
    <x v="1"/>
    <x v="4"/>
    <n v="1"/>
    <n v="9500"/>
    <n v="6500"/>
    <n v="9500"/>
    <n v="3000"/>
  </r>
  <r>
    <s v="2025-10-09"/>
    <x v="1"/>
    <x v="3"/>
    <x v="4"/>
    <n v="1"/>
    <n v="9500"/>
    <n v="6500"/>
    <n v="9500"/>
    <n v="3000"/>
  </r>
  <r>
    <s v="2025-10-11"/>
    <x v="7"/>
    <x v="3"/>
    <x v="2"/>
    <n v="9"/>
    <n v="2500"/>
    <n v="1200"/>
    <n v="22500"/>
    <n v="11700"/>
  </r>
  <r>
    <s v="2025-10-11"/>
    <x v="3"/>
    <x v="1"/>
    <x v="9"/>
    <n v="1"/>
    <n v="1800"/>
    <n v="900"/>
    <n v="1800"/>
    <n v="900"/>
  </r>
  <r>
    <s v="2025-10-13"/>
    <x v="3"/>
    <x v="4"/>
    <x v="7"/>
    <n v="8"/>
    <n v="45000"/>
    <n v="32000"/>
    <n v="360000"/>
    <n v="104000"/>
  </r>
  <r>
    <s v="2025-10-14"/>
    <x v="6"/>
    <x v="1"/>
    <x v="2"/>
    <n v="8"/>
    <n v="2500"/>
    <n v="1200"/>
    <n v="20000"/>
    <n v="10400"/>
  </r>
  <r>
    <s v="2025-10-16"/>
    <x v="1"/>
    <x v="3"/>
    <x v="4"/>
    <n v="7"/>
    <n v="9500"/>
    <n v="6500"/>
    <n v="66500"/>
    <n v="21000"/>
  </r>
  <r>
    <s v="2025-10-20"/>
    <x v="5"/>
    <x v="0"/>
    <x v="9"/>
    <n v="16"/>
    <n v="1800"/>
    <n v="900"/>
    <n v="28800"/>
    <n v="14400"/>
  </r>
  <r>
    <s v="2025-10-27"/>
    <x v="9"/>
    <x v="1"/>
    <x v="4"/>
    <n v="6"/>
    <n v="9500"/>
    <n v="6500"/>
    <n v="57000"/>
    <n v="18000"/>
  </r>
  <r>
    <s v="2025-10-27"/>
    <x v="6"/>
    <x v="1"/>
    <x v="1"/>
    <n v="12"/>
    <n v="18000"/>
    <n v="12000"/>
    <n v="216000"/>
    <n v="7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C00358-6F4E-44A7-B544-27677C0A73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9">
    <pivotField showAll="0"/>
    <pivotField showAll="0">
      <items count="11">
        <item x="5"/>
        <item x="4"/>
        <item x="3"/>
        <item x="8"/>
        <item x="9"/>
        <item x="1"/>
        <item x="7"/>
        <item x="2"/>
        <item x="0"/>
        <item x="6"/>
        <item t="default"/>
      </items>
    </pivotField>
    <pivotField axis="axisRow" showAll="0">
      <items count="6">
        <item x="1"/>
        <item x="4"/>
        <item x="3"/>
        <item x="2"/>
        <item x="0"/>
        <item t="default"/>
      </items>
    </pivotField>
    <pivotField showAll="0">
      <items count="11">
        <item x="2"/>
        <item x="9"/>
        <item x="7"/>
        <item x="6"/>
        <item x="0"/>
        <item x="4"/>
        <item x="3"/>
        <item x="8"/>
        <item x="1"/>
        <item x="5"/>
        <item t="default"/>
      </items>
    </pivotField>
    <pivotField showAll="0"/>
    <pivotField numFmtId="164" showAll="0"/>
    <pivotField numFmtId="164" showAll="0"/>
    <pivotField dataField="1" numFmtId="164" showAll="0"/>
    <pivotField numFmtId="164" showAll="0"/>
  </pivotFields>
  <rowFields count="1">
    <field x="2"/>
  </rowFields>
  <rowItems count="6">
    <i>
      <x/>
    </i>
    <i>
      <x v="1"/>
    </i>
    <i>
      <x v="2"/>
    </i>
    <i>
      <x v="3"/>
    </i>
    <i>
      <x v="4"/>
    </i>
    <i t="grand">
      <x/>
    </i>
  </rowItems>
  <colItems count="1">
    <i/>
  </colItems>
  <dataFields count="1">
    <dataField name="Sum of Total Sales" fld="7" baseField="2" baseItem="0" numFmtId="166"/>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pivotArea type="data" outline="0" fieldPosition="0">
        <references count="2">
          <reference field="4294967294" count="1" selected="0">
            <x v="0"/>
          </reference>
          <reference field="2" count="1" selected="0">
            <x v="1"/>
          </reference>
        </references>
      </pivotArea>
    </chartFormat>
    <chartFormat chart="2" format="15">
      <pivotArea type="data" outline="0" fieldPosition="0">
        <references count="2">
          <reference field="4294967294" count="1" selected="0">
            <x v="0"/>
          </reference>
          <reference field="2" count="1" selected="0">
            <x v="2"/>
          </reference>
        </references>
      </pivotArea>
    </chartFormat>
    <chartFormat chart="2" format="16">
      <pivotArea type="data" outline="0" fieldPosition="0">
        <references count="2">
          <reference field="4294967294" count="1" selected="0">
            <x v="0"/>
          </reference>
          <reference field="2" count="1" selected="0">
            <x v="3"/>
          </reference>
        </references>
      </pivotArea>
    </chartFormat>
    <chartFormat chart="2"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0D15A0-0148-46C4-A6CF-8401D840225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9">
    <pivotField showAll="0"/>
    <pivotField showAll="0">
      <items count="11">
        <item x="5"/>
        <item x="4"/>
        <item x="3"/>
        <item x="8"/>
        <item x="9"/>
        <item x="1"/>
        <item x="7"/>
        <item x="2"/>
        <item x="0"/>
        <item x="6"/>
        <item t="default"/>
      </items>
    </pivotField>
    <pivotField axis="axisRow" showAll="0">
      <items count="6">
        <item x="1"/>
        <item x="4"/>
        <item x="3"/>
        <item x="2"/>
        <item x="0"/>
        <item t="default"/>
      </items>
    </pivotField>
    <pivotField showAll="0">
      <items count="11">
        <item x="2"/>
        <item x="9"/>
        <item x="7"/>
        <item x="6"/>
        <item x="0"/>
        <item x="4"/>
        <item x="3"/>
        <item x="8"/>
        <item x="1"/>
        <item x="5"/>
        <item t="default"/>
      </items>
    </pivotField>
    <pivotField showAll="0"/>
    <pivotField numFmtId="164" showAll="0"/>
    <pivotField numFmtId="164" showAll="0"/>
    <pivotField dataField="1" numFmtId="164" showAll="0"/>
    <pivotField numFmtId="164" showAll="0"/>
  </pivotFields>
  <rowFields count="1">
    <field x="2"/>
  </rowFields>
  <rowItems count="6">
    <i>
      <x/>
    </i>
    <i>
      <x v="1"/>
    </i>
    <i>
      <x v="2"/>
    </i>
    <i>
      <x v="3"/>
    </i>
    <i>
      <x v="4"/>
    </i>
    <i t="grand">
      <x/>
    </i>
  </rowItems>
  <colItems count="1">
    <i/>
  </colItems>
  <dataFields count="1">
    <dataField name="Sum of Total Sales" fld="7" baseField="2" baseItem="0" numFmtId="166"/>
  </dataFields>
  <chartFormats count="4">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0C2375-B3A9-4DF0-A824-81730FA73E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9">
    <pivotField showAll="0"/>
    <pivotField axis="axisRow" showAll="0">
      <items count="11">
        <item x="5"/>
        <item x="4"/>
        <item x="3"/>
        <item x="8"/>
        <item x="9"/>
        <item x="1"/>
        <item x="7"/>
        <item x="2"/>
        <item x="0"/>
        <item x="6"/>
        <item t="default"/>
      </items>
    </pivotField>
    <pivotField showAll="0"/>
    <pivotField showAll="0">
      <items count="11">
        <item x="2"/>
        <item x="9"/>
        <item x="7"/>
        <item x="6"/>
        <item x="0"/>
        <item x="4"/>
        <item x="3"/>
        <item x="8"/>
        <item x="1"/>
        <item x="5"/>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0" numFmtId="167"/>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4A43C2-6522-4F9A-A537-661B30158BD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9">
    <pivotField showAll="0"/>
    <pivotField showAll="0">
      <items count="11">
        <item x="5"/>
        <item x="4"/>
        <item x="3"/>
        <item x="8"/>
        <item x="9"/>
        <item x="1"/>
        <item x="7"/>
        <item x="2"/>
        <item x="0"/>
        <item x="6"/>
        <item t="default"/>
      </items>
    </pivotField>
    <pivotField showAll="0"/>
    <pivotField axis="axisRow" showAll="0">
      <items count="11">
        <item x="2"/>
        <item x="9"/>
        <item x="7"/>
        <item x="6"/>
        <item x="0"/>
        <item x="4"/>
        <item x="3"/>
        <item x="8"/>
        <item x="1"/>
        <item x="5"/>
        <item t="default"/>
      </items>
    </pivotField>
    <pivotField dataField="1" showAll="0"/>
    <pivotField numFmtId="164" showAll="0"/>
    <pivotField numFmtId="164" showAll="0"/>
    <pivotField numFmtId="164" showAll="0"/>
    <pivotField numFmtId="164" showAll="0"/>
  </pivotFields>
  <rowFields count="1">
    <field x="3"/>
  </rowFields>
  <rowItems count="11">
    <i>
      <x/>
    </i>
    <i>
      <x v="1"/>
    </i>
    <i>
      <x v="2"/>
    </i>
    <i>
      <x v="3"/>
    </i>
    <i>
      <x v="4"/>
    </i>
    <i>
      <x v="5"/>
    </i>
    <i>
      <x v="6"/>
    </i>
    <i>
      <x v="7"/>
    </i>
    <i>
      <x v="8"/>
    </i>
    <i>
      <x v="9"/>
    </i>
    <i t="grand">
      <x/>
    </i>
  </rowItems>
  <colItems count="1">
    <i/>
  </colItems>
  <dataFields count="1">
    <dataField name="Sum of Units Sold" fld="4" baseField="3"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4FD1111E-E997-4A78-BCA9-760A7E9358FC}" sourceName="Sales Person">
  <pivotTables>
    <pivotTable tabId="3" name="PivotTable3"/>
    <pivotTable tabId="4" name="PivotTable4"/>
    <pivotTable tabId="5" name="PivotTable5"/>
    <pivotTable tabId="6" name="PivotTable6"/>
  </pivotTables>
  <data>
    <tabular pivotCacheId="808996284">
      <items count="10">
        <i x="5" s="1"/>
        <i x="4" s="1"/>
        <i x="3" s="1"/>
        <i x="8" s="1"/>
        <i x="9" s="1"/>
        <i x="1" s="1"/>
        <i x="7" s="1"/>
        <i x="2"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D5DBE1-9A3D-4D61-BD0B-E838ECDD56DB}" sourceName="Region">
  <pivotTables>
    <pivotTable tabId="3" name="PivotTable3"/>
  </pivotTables>
  <data>
    <tabular pivotCacheId="808996284">
      <items count="5">
        <i x="1" s="1"/>
        <i x="4"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B9E0FCA-545E-4A6C-9076-842C8CBD76EB}" sourceName="Product">
  <pivotTables>
    <pivotTable tabId="3" name="PivotTable3"/>
    <pivotTable tabId="4" name="PivotTable4"/>
    <pivotTable tabId="5" name="PivotTable5"/>
    <pivotTable tabId="6" name="PivotTable6"/>
  </pivotTables>
  <data>
    <tabular pivotCacheId="808996284">
      <items count="10">
        <i x="2" s="1"/>
        <i x="9" s="1"/>
        <i x="7" s="1"/>
        <i x="6" s="1"/>
        <i x="0" s="1"/>
        <i x="4" s="1"/>
        <i x="3" s="1"/>
        <i x="8"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FD1D9094-5EBC-48AE-81DD-94DD680878BB}" cache="Slicer_Sales_Person" caption="Sales Person" startItem="3" style="SlicerStyleDark1" rowHeight="257175"/>
  <slicer name="Region 1" xr10:uid="{E9C66827-8890-4609-ABCE-3A55BFAC5A13}" cache="Slicer_Region" caption="Region" columnCount="2" showCaption="0" style="SlicerStyleDark1" rowHeight="257175"/>
  <slicer name="Product 1" xr10:uid="{317B538A-B6A7-4487-A44E-BF1302EEB74F}" cache="Slicer_Product" caption="Product" startItem="5"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A7CD4624-B35D-4B42-9175-0A0F7C2F4CC8}" cache="Slicer_Sales_Person" caption="Sales Person" rowHeight="257175"/>
  <slicer name="Region" xr10:uid="{4B0B0244-B73D-4DC1-B30B-F2B110FEDC4A}" cache="Slicer_Region" caption="Region" columnCount="2" showCaption="0" rowHeight="257175"/>
  <slicer name="Product" xr10:uid="{C89A5B33-7246-449A-9959-3F5A03BFCC7C}" cache="Slicer_Product" caption="Produc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19E34A-183D-46B9-9A56-6118CFA3D762}" name="Table1" displayName="Table1" ref="A1:I101" totalsRowShown="0" headerRowDxfId="10" dataDxfId="9">
  <autoFilter ref="A1:I101" xr:uid="{8E19E34A-183D-46B9-9A56-6118CFA3D762}"/>
  <tableColumns count="9">
    <tableColumn id="1" xr3:uid="{492F2215-04EB-4CDD-92F0-AF80B3C26B16}" name="Date" dataDxfId="8"/>
    <tableColumn id="2" xr3:uid="{D23C4232-686A-4F1C-839B-87310E68D5BE}" name="Sales Person" dataDxfId="7"/>
    <tableColumn id="3" xr3:uid="{FEDCA337-FF62-43A1-BBBA-B1F85426BAB6}" name="Region" dataDxfId="6"/>
    <tableColumn id="4" xr3:uid="{F0850BAA-889D-4F4B-9F9B-082C7B3A22FD}" name="Product" dataDxfId="5"/>
    <tableColumn id="5" xr3:uid="{AEAB26CC-5E28-477B-9FBD-8C41D14CFFC6}" name="Units Sold" dataDxfId="4"/>
    <tableColumn id="6" xr3:uid="{38D370E1-3871-46ED-8BFF-D54FAA997B2B}" name="Unit Price" dataDxfId="3"/>
    <tableColumn id="7" xr3:uid="{33E09E48-97B5-4FF3-B1E5-64BA8C246B33}" name="Cost Of Goods" dataDxfId="2"/>
    <tableColumn id="8" xr3:uid="{299C2BC2-26D6-42C7-8D9F-E10CB57907F4}" name="Total Sales" dataDxfId="1"/>
    <tableColumn id="9" xr3:uid="{C907C8C7-1641-4B60-96D5-75A49E4BD2C1}" name="Profit" dataDxfId="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81496-A84F-4E32-B21F-FCD81BA0C825}">
  <dimension ref="A1"/>
  <sheetViews>
    <sheetView showGridLines="0" showRowColHeaders="0" tabSelected="1" workbookViewId="0">
      <selection activeCell="M35" sqref="M35"/>
      <extLst>
        <ext xmlns:xlsdti="http://schemas.microsoft.com/office/spreadsheetml/2023/showDataTypeIcons" uri="{77bfe23e-c014-4d31-8a63-9c772dbf06b6}">
          <xlsdti:showDataTypeIcons visible="0"/>
        </ext>
      </extLst>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3BCB-CA72-461B-8DE7-A4DE7BF5F7B9}">
  <dimension ref="A3:B9"/>
  <sheetViews>
    <sheetView workbookViewId="0">
      <selection activeCell="B13" sqref="B13"/>
    </sheetView>
  </sheetViews>
  <sheetFormatPr defaultRowHeight="15" x14ac:dyDescent="0.25"/>
  <cols>
    <col min="1" max="1" width="13.42578125" bestFit="1" customWidth="1"/>
    <col min="2" max="2" width="17.7109375" bestFit="1" customWidth="1"/>
  </cols>
  <sheetData>
    <row r="3" spans="1:2" x14ac:dyDescent="0.25">
      <c r="A3" s="8" t="s">
        <v>114</v>
      </c>
      <c r="B3" t="s">
        <v>115</v>
      </c>
    </row>
    <row r="4" spans="1:2" x14ac:dyDescent="0.25">
      <c r="A4" s="9" t="s">
        <v>9</v>
      </c>
      <c r="B4" s="10">
        <v>3808600</v>
      </c>
    </row>
    <row r="5" spans="1:2" x14ac:dyDescent="0.25">
      <c r="A5" s="9" t="s">
        <v>31</v>
      </c>
      <c r="B5" s="10">
        <v>1711400</v>
      </c>
    </row>
    <row r="6" spans="1:2" x14ac:dyDescent="0.25">
      <c r="A6" s="9" t="s">
        <v>15</v>
      </c>
      <c r="B6" s="10">
        <v>2053400</v>
      </c>
    </row>
    <row r="7" spans="1:2" x14ac:dyDescent="0.25">
      <c r="A7" s="9" t="s">
        <v>12</v>
      </c>
      <c r="B7" s="10">
        <v>3211800</v>
      </c>
    </row>
    <row r="8" spans="1:2" x14ac:dyDescent="0.25">
      <c r="A8" s="9" t="s">
        <v>5</v>
      </c>
      <c r="B8" s="10">
        <v>2703800</v>
      </c>
    </row>
    <row r="9" spans="1:2" x14ac:dyDescent="0.25">
      <c r="A9" s="9" t="s">
        <v>109</v>
      </c>
      <c r="B9" s="10">
        <v>13489000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31472-16E6-462B-A1F7-6BA883074056}">
  <dimension ref="A3:B9"/>
  <sheetViews>
    <sheetView zoomScale="85" zoomScaleNormal="85" workbookViewId="0">
      <selection activeCell="M11" sqref="M11"/>
    </sheetView>
  </sheetViews>
  <sheetFormatPr defaultRowHeight="15" x14ac:dyDescent="0.25"/>
  <cols>
    <col min="1" max="1" width="13.42578125" bestFit="1" customWidth="1"/>
    <col min="2" max="2" width="17.7109375" bestFit="1" customWidth="1"/>
  </cols>
  <sheetData>
    <row r="3" spans="1:2" x14ac:dyDescent="0.25">
      <c r="A3" s="8" t="s">
        <v>114</v>
      </c>
      <c r="B3" t="s">
        <v>115</v>
      </c>
    </row>
    <row r="4" spans="1:2" x14ac:dyDescent="0.25">
      <c r="A4" s="9" t="s">
        <v>9</v>
      </c>
      <c r="B4" s="10">
        <v>3808600</v>
      </c>
    </row>
    <row r="5" spans="1:2" x14ac:dyDescent="0.25">
      <c r="A5" s="9" t="s">
        <v>31</v>
      </c>
      <c r="B5" s="10">
        <v>1711400</v>
      </c>
    </row>
    <row r="6" spans="1:2" x14ac:dyDescent="0.25">
      <c r="A6" s="9" t="s">
        <v>15</v>
      </c>
      <c r="B6" s="10">
        <v>2053400</v>
      </c>
    </row>
    <row r="7" spans="1:2" x14ac:dyDescent="0.25">
      <c r="A7" s="9" t="s">
        <v>12</v>
      </c>
      <c r="B7" s="10">
        <v>3211800</v>
      </c>
    </row>
    <row r="8" spans="1:2" x14ac:dyDescent="0.25">
      <c r="A8" s="9" t="s">
        <v>5</v>
      </c>
      <c r="B8" s="10">
        <v>2703800</v>
      </c>
    </row>
    <row r="9" spans="1:2" x14ac:dyDescent="0.25">
      <c r="A9" s="9" t="s">
        <v>109</v>
      </c>
      <c r="B9" s="10">
        <v>13489000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FE75B-3614-4227-AB96-1B331D3A838D}">
  <dimension ref="A3:B14"/>
  <sheetViews>
    <sheetView workbookViewId="0">
      <selection activeCell="L17" sqref="L17"/>
    </sheetView>
  </sheetViews>
  <sheetFormatPr defaultRowHeight="15" x14ac:dyDescent="0.25"/>
  <cols>
    <col min="1" max="1" width="13.42578125" bestFit="1" customWidth="1"/>
    <col min="2" max="2" width="17.7109375" bestFit="1" customWidth="1"/>
  </cols>
  <sheetData>
    <row r="3" spans="1:2" x14ac:dyDescent="0.25">
      <c r="A3" s="8" t="s">
        <v>114</v>
      </c>
      <c r="B3" t="s">
        <v>115</v>
      </c>
    </row>
    <row r="4" spans="1:2" x14ac:dyDescent="0.25">
      <c r="A4" s="9" t="s">
        <v>23</v>
      </c>
      <c r="B4" s="11">
        <v>2121400</v>
      </c>
    </row>
    <row r="5" spans="1:2" x14ac:dyDescent="0.25">
      <c r="A5" s="9" t="s">
        <v>22</v>
      </c>
      <c r="B5" s="11">
        <v>982900</v>
      </c>
    </row>
    <row r="6" spans="1:2" x14ac:dyDescent="0.25">
      <c r="A6" s="9" t="s">
        <v>19</v>
      </c>
      <c r="B6" s="11">
        <v>2341500</v>
      </c>
    </row>
    <row r="7" spans="1:2" x14ac:dyDescent="0.25">
      <c r="A7" s="9" t="s">
        <v>43</v>
      </c>
      <c r="B7" s="11">
        <v>686000</v>
      </c>
    </row>
    <row r="8" spans="1:2" x14ac:dyDescent="0.25">
      <c r="A8" s="9" t="s">
        <v>49</v>
      </c>
      <c r="B8" s="11">
        <v>792200</v>
      </c>
    </row>
    <row r="9" spans="1:2" x14ac:dyDescent="0.25">
      <c r="A9" s="9" t="s">
        <v>8</v>
      </c>
      <c r="B9" s="11">
        <v>2218200</v>
      </c>
    </row>
    <row r="10" spans="1:2" x14ac:dyDescent="0.25">
      <c r="A10" s="9" t="s">
        <v>39</v>
      </c>
      <c r="B10" s="11">
        <v>1189300</v>
      </c>
    </row>
    <row r="11" spans="1:2" x14ac:dyDescent="0.25">
      <c r="A11" s="9" t="s">
        <v>17</v>
      </c>
      <c r="B11" s="11">
        <v>1170000</v>
      </c>
    </row>
    <row r="12" spans="1:2" x14ac:dyDescent="0.25">
      <c r="A12" s="9" t="s">
        <v>4</v>
      </c>
      <c r="B12" s="11">
        <v>814900</v>
      </c>
    </row>
    <row r="13" spans="1:2" x14ac:dyDescent="0.25">
      <c r="A13" s="9" t="s">
        <v>27</v>
      </c>
      <c r="B13" s="11">
        <v>1172600</v>
      </c>
    </row>
    <row r="14" spans="1:2" x14ac:dyDescent="0.25">
      <c r="A14" s="9" t="s">
        <v>109</v>
      </c>
      <c r="B14" s="11">
        <v>13489000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E43A6-E145-4A03-BB2D-459360A21818}">
  <dimension ref="A3:B14"/>
  <sheetViews>
    <sheetView workbookViewId="0">
      <selection activeCell="L12" sqref="L12"/>
    </sheetView>
  </sheetViews>
  <sheetFormatPr defaultRowHeight="15" x14ac:dyDescent="0.25"/>
  <cols>
    <col min="1" max="1" width="13.42578125" bestFit="1" customWidth="1"/>
    <col min="2" max="2" width="17" bestFit="1" customWidth="1"/>
  </cols>
  <sheetData>
    <row r="3" spans="1:2" x14ac:dyDescent="0.25">
      <c r="A3" s="8" t="s">
        <v>114</v>
      </c>
      <c r="B3" t="s">
        <v>116</v>
      </c>
    </row>
    <row r="4" spans="1:2" x14ac:dyDescent="0.25">
      <c r="A4" s="9" t="s">
        <v>13</v>
      </c>
      <c r="B4">
        <v>144</v>
      </c>
    </row>
    <row r="5" spans="1:2" x14ac:dyDescent="0.25">
      <c r="A5" s="9" t="s">
        <v>36</v>
      </c>
      <c r="B5">
        <v>105</v>
      </c>
    </row>
    <row r="6" spans="1:2" x14ac:dyDescent="0.25">
      <c r="A6" s="9" t="s">
        <v>32</v>
      </c>
      <c r="B6">
        <v>90</v>
      </c>
    </row>
    <row r="7" spans="1:2" x14ac:dyDescent="0.25">
      <c r="A7" s="9" t="s">
        <v>30</v>
      </c>
      <c r="B7">
        <v>69</v>
      </c>
    </row>
    <row r="8" spans="1:2" x14ac:dyDescent="0.25">
      <c r="A8" s="9" t="s">
        <v>6</v>
      </c>
      <c r="B8">
        <v>108</v>
      </c>
    </row>
    <row r="9" spans="1:2" x14ac:dyDescent="0.25">
      <c r="A9" s="9" t="s">
        <v>24</v>
      </c>
      <c r="B9">
        <v>87</v>
      </c>
    </row>
    <row r="10" spans="1:2" x14ac:dyDescent="0.25">
      <c r="A10" s="9" t="s">
        <v>20</v>
      </c>
      <c r="B10">
        <v>181</v>
      </c>
    </row>
    <row r="11" spans="1:2" x14ac:dyDescent="0.25">
      <c r="A11" s="9" t="s">
        <v>34</v>
      </c>
      <c r="B11">
        <v>59</v>
      </c>
    </row>
    <row r="12" spans="1:2" x14ac:dyDescent="0.25">
      <c r="A12" s="9" t="s">
        <v>10</v>
      </c>
      <c r="B12">
        <v>140</v>
      </c>
    </row>
    <row r="13" spans="1:2" x14ac:dyDescent="0.25">
      <c r="A13" s="9" t="s">
        <v>28</v>
      </c>
      <c r="B13">
        <v>79</v>
      </c>
    </row>
    <row r="14" spans="1:2" x14ac:dyDescent="0.25">
      <c r="A14" s="9" t="s">
        <v>109</v>
      </c>
      <c r="B14">
        <v>1062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54B3-E590-4E93-A208-EF0912B42EBA}">
  <dimension ref="A1:M101"/>
  <sheetViews>
    <sheetView topLeftCell="C1" workbookViewId="0">
      <selection activeCell="M8" sqref="M8"/>
    </sheetView>
  </sheetViews>
  <sheetFormatPr defaultRowHeight="15" x14ac:dyDescent="0.25"/>
  <cols>
    <col min="1" max="1" width="14.5703125" customWidth="1"/>
    <col min="2" max="2" width="17.7109375" customWidth="1"/>
    <col min="3" max="3" width="15.5703125" customWidth="1"/>
    <col min="4" max="4" width="17.5703125" customWidth="1"/>
    <col min="5" max="5" width="15.5703125" customWidth="1"/>
    <col min="6" max="6" width="19" customWidth="1"/>
    <col min="7" max="7" width="18.85546875" customWidth="1"/>
    <col min="8" max="8" width="21.42578125" customWidth="1"/>
    <col min="9" max="9" width="13.140625" customWidth="1"/>
    <col min="10" max="10" width="12.7109375" customWidth="1"/>
    <col min="13" max="13" width="11.7109375" bestFit="1" customWidth="1"/>
  </cols>
  <sheetData>
    <row r="1" spans="1:13" x14ac:dyDescent="0.25">
      <c r="A1" s="6" t="s">
        <v>0</v>
      </c>
      <c r="B1" s="6" t="s">
        <v>104</v>
      </c>
      <c r="C1" s="6" t="s">
        <v>1</v>
      </c>
      <c r="D1" s="6" t="s">
        <v>2</v>
      </c>
      <c r="E1" s="6" t="s">
        <v>105</v>
      </c>
      <c r="F1" s="6" t="s">
        <v>106</v>
      </c>
      <c r="G1" s="6" t="s">
        <v>107</v>
      </c>
      <c r="H1" s="6" t="s">
        <v>108</v>
      </c>
      <c r="I1" s="7" t="s">
        <v>113</v>
      </c>
      <c r="J1" s="5"/>
      <c r="M1" t="s">
        <v>109</v>
      </c>
    </row>
    <row r="2" spans="1:13" x14ac:dyDescent="0.25">
      <c r="A2" s="2" t="s">
        <v>3</v>
      </c>
      <c r="B2" s="3" t="s">
        <v>4</v>
      </c>
      <c r="C2" s="3" t="s">
        <v>5</v>
      </c>
      <c r="D2" s="3" t="s">
        <v>6</v>
      </c>
      <c r="E2" s="3">
        <v>3</v>
      </c>
      <c r="F2" s="4">
        <v>900</v>
      </c>
      <c r="G2" s="4">
        <v>400</v>
      </c>
      <c r="H2" s="4">
        <v>2700</v>
      </c>
      <c r="I2" s="1">
        <f>H2-(G2*E2)</f>
        <v>1500</v>
      </c>
      <c r="M2" s="12">
        <f>SUM(H2:H101)</f>
        <v>13489000</v>
      </c>
    </row>
    <row r="3" spans="1:13" x14ac:dyDescent="0.25">
      <c r="A3" s="2" t="s">
        <v>7</v>
      </c>
      <c r="B3" s="3" t="s">
        <v>8</v>
      </c>
      <c r="C3" s="3" t="s">
        <v>9</v>
      </c>
      <c r="D3" s="3" t="s">
        <v>10</v>
      </c>
      <c r="E3" s="3">
        <v>12</v>
      </c>
      <c r="F3" s="4">
        <v>18000</v>
      </c>
      <c r="G3" s="4">
        <v>12000</v>
      </c>
      <c r="H3" s="4">
        <v>216000</v>
      </c>
      <c r="I3" s="1">
        <f t="shared" ref="I3:I66" si="0">H3-(G3*E3)</f>
        <v>72000</v>
      </c>
      <c r="M3" t="s">
        <v>110</v>
      </c>
    </row>
    <row r="4" spans="1:13" x14ac:dyDescent="0.25">
      <c r="A4" s="2" t="s">
        <v>11</v>
      </c>
      <c r="B4" s="3" t="s">
        <v>8</v>
      </c>
      <c r="C4" s="3" t="s">
        <v>12</v>
      </c>
      <c r="D4" s="3" t="s">
        <v>13</v>
      </c>
      <c r="E4" s="3">
        <v>22</v>
      </c>
      <c r="F4" s="4">
        <v>2500</v>
      </c>
      <c r="G4" s="4">
        <v>1200</v>
      </c>
      <c r="H4" s="4">
        <v>55000</v>
      </c>
      <c r="I4" s="1">
        <f t="shared" si="0"/>
        <v>28600</v>
      </c>
      <c r="M4">
        <f>SUM(E2:E101)</f>
        <v>1062</v>
      </c>
    </row>
    <row r="5" spans="1:13" x14ac:dyDescent="0.25">
      <c r="A5" s="2" t="s">
        <v>14</v>
      </c>
      <c r="B5" s="3" t="s">
        <v>8</v>
      </c>
      <c r="C5" s="3" t="s">
        <v>15</v>
      </c>
      <c r="D5" s="3" t="s">
        <v>10</v>
      </c>
      <c r="E5" s="3">
        <v>24</v>
      </c>
      <c r="F5" s="4">
        <v>18000</v>
      </c>
      <c r="G5" s="4">
        <v>12000</v>
      </c>
      <c r="H5" s="4">
        <v>432000</v>
      </c>
      <c r="I5" s="1">
        <f t="shared" si="0"/>
        <v>144000</v>
      </c>
      <c r="M5" t="s">
        <v>111</v>
      </c>
    </row>
    <row r="6" spans="1:13" x14ac:dyDescent="0.25">
      <c r="A6" s="2" t="s">
        <v>16</v>
      </c>
      <c r="B6" s="3" t="s">
        <v>17</v>
      </c>
      <c r="C6" s="3" t="s">
        <v>15</v>
      </c>
      <c r="D6" s="3" t="s">
        <v>13</v>
      </c>
      <c r="E6" s="3">
        <v>3</v>
      </c>
      <c r="F6" s="4">
        <v>2500</v>
      </c>
      <c r="G6" s="4">
        <v>1200</v>
      </c>
      <c r="H6" s="4">
        <v>7500</v>
      </c>
      <c r="I6" s="1">
        <f t="shared" si="0"/>
        <v>3900</v>
      </c>
      <c r="M6" s="12">
        <f>SUM(I2:I101)</f>
        <v>4445200</v>
      </c>
    </row>
    <row r="7" spans="1:13" x14ac:dyDescent="0.25">
      <c r="A7" s="2" t="s">
        <v>18</v>
      </c>
      <c r="B7" s="3" t="s">
        <v>19</v>
      </c>
      <c r="C7" s="3" t="s">
        <v>5</v>
      </c>
      <c r="D7" s="3" t="s">
        <v>20</v>
      </c>
      <c r="E7" s="3">
        <v>19</v>
      </c>
      <c r="F7" s="4">
        <v>22000</v>
      </c>
      <c r="G7" s="4">
        <v>15000</v>
      </c>
      <c r="H7" s="4">
        <v>418000</v>
      </c>
      <c r="I7" s="1">
        <f t="shared" si="0"/>
        <v>133000</v>
      </c>
      <c r="M7" t="s">
        <v>112</v>
      </c>
    </row>
    <row r="8" spans="1:13" x14ac:dyDescent="0.25">
      <c r="A8" s="2" t="s">
        <v>21</v>
      </c>
      <c r="B8" s="3" t="s">
        <v>22</v>
      </c>
      <c r="C8" s="3" t="s">
        <v>12</v>
      </c>
      <c r="D8" s="3" t="s">
        <v>20</v>
      </c>
      <c r="E8" s="3">
        <v>2</v>
      </c>
      <c r="F8" s="4">
        <v>22000</v>
      </c>
      <c r="G8" s="4">
        <v>15000</v>
      </c>
      <c r="H8" s="4">
        <v>44000</v>
      </c>
      <c r="I8" s="1">
        <f t="shared" si="0"/>
        <v>14000</v>
      </c>
      <c r="M8" s="12">
        <f>AVERAGE(H2:H101)</f>
        <v>134890</v>
      </c>
    </row>
    <row r="9" spans="1:13" x14ac:dyDescent="0.25">
      <c r="A9" s="2" t="s">
        <v>21</v>
      </c>
      <c r="B9" s="3" t="s">
        <v>23</v>
      </c>
      <c r="C9" s="3" t="s">
        <v>12</v>
      </c>
      <c r="D9" s="3" t="s">
        <v>24</v>
      </c>
      <c r="E9" s="3">
        <v>24</v>
      </c>
      <c r="F9" s="4">
        <v>9500</v>
      </c>
      <c r="G9" s="4">
        <v>6500</v>
      </c>
      <c r="H9" s="4">
        <v>228000</v>
      </c>
      <c r="I9" s="1">
        <f t="shared" si="0"/>
        <v>72000</v>
      </c>
    </row>
    <row r="10" spans="1:13" x14ac:dyDescent="0.25">
      <c r="A10" s="2" t="s">
        <v>25</v>
      </c>
      <c r="B10" s="3" t="s">
        <v>8</v>
      </c>
      <c r="C10" s="3" t="s">
        <v>5</v>
      </c>
      <c r="D10" s="3" t="s">
        <v>20</v>
      </c>
      <c r="E10" s="3">
        <v>25</v>
      </c>
      <c r="F10" s="4">
        <v>22000</v>
      </c>
      <c r="G10" s="4">
        <v>15000</v>
      </c>
      <c r="H10" s="4">
        <v>550000</v>
      </c>
      <c r="I10" s="1">
        <f t="shared" si="0"/>
        <v>175000</v>
      </c>
    </row>
    <row r="11" spans="1:13" x14ac:dyDescent="0.25">
      <c r="A11" s="2" t="s">
        <v>26</v>
      </c>
      <c r="B11" s="3" t="s">
        <v>27</v>
      </c>
      <c r="C11" s="3" t="s">
        <v>9</v>
      </c>
      <c r="D11" s="3" t="s">
        <v>28</v>
      </c>
      <c r="E11" s="3">
        <v>17</v>
      </c>
      <c r="F11" s="4">
        <v>3200</v>
      </c>
      <c r="G11" s="4">
        <v>1700</v>
      </c>
      <c r="H11" s="4">
        <v>54400</v>
      </c>
      <c r="I11" s="1">
        <f t="shared" si="0"/>
        <v>25500</v>
      </c>
    </row>
    <row r="12" spans="1:13" x14ac:dyDescent="0.25">
      <c r="A12" s="2" t="s">
        <v>29</v>
      </c>
      <c r="B12" s="3" t="s">
        <v>27</v>
      </c>
      <c r="C12" s="3" t="s">
        <v>15</v>
      </c>
      <c r="D12" s="3" t="s">
        <v>30</v>
      </c>
      <c r="E12" s="3">
        <v>12</v>
      </c>
      <c r="F12" s="4">
        <v>12000</v>
      </c>
      <c r="G12" s="4">
        <v>8000</v>
      </c>
      <c r="H12" s="4">
        <v>144000</v>
      </c>
      <c r="I12" s="1">
        <f t="shared" si="0"/>
        <v>48000</v>
      </c>
    </row>
    <row r="13" spans="1:13" x14ac:dyDescent="0.25">
      <c r="A13" s="2" t="s">
        <v>29</v>
      </c>
      <c r="B13" s="3" t="s">
        <v>27</v>
      </c>
      <c r="C13" s="3" t="s">
        <v>31</v>
      </c>
      <c r="D13" s="3" t="s">
        <v>32</v>
      </c>
      <c r="E13" s="3">
        <v>1</v>
      </c>
      <c r="F13" s="4">
        <v>45000</v>
      </c>
      <c r="G13" s="4">
        <v>32000</v>
      </c>
      <c r="H13" s="4">
        <v>45000</v>
      </c>
      <c r="I13" s="1">
        <f t="shared" si="0"/>
        <v>13000</v>
      </c>
    </row>
    <row r="14" spans="1:13" x14ac:dyDescent="0.25">
      <c r="A14" s="2" t="s">
        <v>29</v>
      </c>
      <c r="B14" s="3" t="s">
        <v>19</v>
      </c>
      <c r="C14" s="3" t="s">
        <v>12</v>
      </c>
      <c r="D14" s="3" t="s">
        <v>10</v>
      </c>
      <c r="E14" s="3">
        <v>16</v>
      </c>
      <c r="F14" s="4">
        <v>18000</v>
      </c>
      <c r="G14" s="4">
        <v>12000</v>
      </c>
      <c r="H14" s="4">
        <v>288000</v>
      </c>
      <c r="I14" s="1">
        <f t="shared" si="0"/>
        <v>96000</v>
      </c>
    </row>
    <row r="15" spans="1:13" x14ac:dyDescent="0.25">
      <c r="A15" s="2" t="s">
        <v>33</v>
      </c>
      <c r="B15" s="3" t="s">
        <v>27</v>
      </c>
      <c r="C15" s="3" t="s">
        <v>15</v>
      </c>
      <c r="D15" s="3" t="s">
        <v>34</v>
      </c>
      <c r="E15" s="3">
        <v>8</v>
      </c>
      <c r="F15" s="4">
        <v>6500</v>
      </c>
      <c r="G15" s="4">
        <v>3500</v>
      </c>
      <c r="H15" s="4">
        <v>52000</v>
      </c>
      <c r="I15" s="1">
        <f t="shared" si="0"/>
        <v>24000</v>
      </c>
    </row>
    <row r="16" spans="1:13" x14ac:dyDescent="0.25">
      <c r="A16" s="2" t="s">
        <v>35</v>
      </c>
      <c r="B16" s="3" t="s">
        <v>22</v>
      </c>
      <c r="C16" s="3" t="s">
        <v>31</v>
      </c>
      <c r="D16" s="3" t="s">
        <v>36</v>
      </c>
      <c r="E16" s="3">
        <v>8</v>
      </c>
      <c r="F16" s="4">
        <v>1800</v>
      </c>
      <c r="G16" s="4">
        <v>900</v>
      </c>
      <c r="H16" s="4">
        <v>14400</v>
      </c>
      <c r="I16" s="1">
        <f t="shared" si="0"/>
        <v>7200</v>
      </c>
    </row>
    <row r="17" spans="1:9" x14ac:dyDescent="0.25">
      <c r="A17" s="2" t="s">
        <v>35</v>
      </c>
      <c r="B17" s="3" t="s">
        <v>8</v>
      </c>
      <c r="C17" s="3" t="s">
        <v>12</v>
      </c>
      <c r="D17" s="3" t="s">
        <v>24</v>
      </c>
      <c r="E17" s="3">
        <v>2</v>
      </c>
      <c r="F17" s="4">
        <v>9500</v>
      </c>
      <c r="G17" s="4">
        <v>6500</v>
      </c>
      <c r="H17" s="4">
        <v>19000</v>
      </c>
      <c r="I17" s="1">
        <f t="shared" si="0"/>
        <v>6000</v>
      </c>
    </row>
    <row r="18" spans="1:9" x14ac:dyDescent="0.25">
      <c r="A18" s="2" t="s">
        <v>37</v>
      </c>
      <c r="B18" s="3" t="s">
        <v>17</v>
      </c>
      <c r="C18" s="3" t="s">
        <v>31</v>
      </c>
      <c r="D18" s="3" t="s">
        <v>30</v>
      </c>
      <c r="E18" s="3">
        <v>4</v>
      </c>
      <c r="F18" s="4">
        <v>12000</v>
      </c>
      <c r="G18" s="4">
        <v>8000</v>
      </c>
      <c r="H18" s="4">
        <v>48000</v>
      </c>
      <c r="I18" s="1">
        <f t="shared" si="0"/>
        <v>16000</v>
      </c>
    </row>
    <row r="19" spans="1:9" x14ac:dyDescent="0.25">
      <c r="A19" s="2" t="s">
        <v>38</v>
      </c>
      <c r="B19" s="3" t="s">
        <v>39</v>
      </c>
      <c r="C19" s="3" t="s">
        <v>12</v>
      </c>
      <c r="D19" s="3" t="s">
        <v>28</v>
      </c>
      <c r="E19" s="3">
        <v>9</v>
      </c>
      <c r="F19" s="4">
        <v>3200</v>
      </c>
      <c r="G19" s="4">
        <v>1700</v>
      </c>
      <c r="H19" s="4">
        <v>28800</v>
      </c>
      <c r="I19" s="1">
        <f t="shared" si="0"/>
        <v>13500</v>
      </c>
    </row>
    <row r="20" spans="1:9" x14ac:dyDescent="0.25">
      <c r="A20" s="2" t="s">
        <v>38</v>
      </c>
      <c r="B20" s="3" t="s">
        <v>8</v>
      </c>
      <c r="C20" s="3" t="s">
        <v>9</v>
      </c>
      <c r="D20" s="3" t="s">
        <v>13</v>
      </c>
      <c r="E20" s="3">
        <v>9</v>
      </c>
      <c r="F20" s="4">
        <v>2500</v>
      </c>
      <c r="G20" s="4">
        <v>1200</v>
      </c>
      <c r="H20" s="4">
        <v>22500</v>
      </c>
      <c r="I20" s="1">
        <f t="shared" si="0"/>
        <v>11700</v>
      </c>
    </row>
    <row r="21" spans="1:9" x14ac:dyDescent="0.25">
      <c r="A21" s="2" t="s">
        <v>40</v>
      </c>
      <c r="B21" s="3" t="s">
        <v>22</v>
      </c>
      <c r="C21" s="3" t="s">
        <v>31</v>
      </c>
      <c r="D21" s="3" t="s">
        <v>30</v>
      </c>
      <c r="E21" s="3">
        <v>2</v>
      </c>
      <c r="F21" s="4">
        <v>12000</v>
      </c>
      <c r="G21" s="4">
        <v>8000</v>
      </c>
      <c r="H21" s="4">
        <v>24000</v>
      </c>
      <c r="I21" s="1">
        <f t="shared" si="0"/>
        <v>8000</v>
      </c>
    </row>
    <row r="22" spans="1:9" x14ac:dyDescent="0.25">
      <c r="A22" s="2" t="s">
        <v>41</v>
      </c>
      <c r="B22" s="3" t="s">
        <v>19</v>
      </c>
      <c r="C22" s="3" t="s">
        <v>9</v>
      </c>
      <c r="D22" s="3" t="s">
        <v>24</v>
      </c>
      <c r="E22" s="3">
        <v>9</v>
      </c>
      <c r="F22" s="4">
        <v>9500</v>
      </c>
      <c r="G22" s="4">
        <v>6500</v>
      </c>
      <c r="H22" s="4">
        <v>85500</v>
      </c>
      <c r="I22" s="1">
        <f t="shared" si="0"/>
        <v>27000</v>
      </c>
    </row>
    <row r="23" spans="1:9" x14ac:dyDescent="0.25">
      <c r="A23" s="2" t="s">
        <v>41</v>
      </c>
      <c r="B23" s="3" t="s">
        <v>8</v>
      </c>
      <c r="C23" s="3" t="s">
        <v>9</v>
      </c>
      <c r="D23" s="3" t="s">
        <v>20</v>
      </c>
      <c r="E23" s="3">
        <v>19</v>
      </c>
      <c r="F23" s="4">
        <v>22000</v>
      </c>
      <c r="G23" s="4">
        <v>15000</v>
      </c>
      <c r="H23" s="4">
        <v>418000</v>
      </c>
      <c r="I23" s="1">
        <f t="shared" si="0"/>
        <v>133000</v>
      </c>
    </row>
    <row r="24" spans="1:9" x14ac:dyDescent="0.25">
      <c r="A24" s="2" t="s">
        <v>42</v>
      </c>
      <c r="B24" s="3" t="s">
        <v>43</v>
      </c>
      <c r="C24" s="3" t="s">
        <v>5</v>
      </c>
      <c r="D24" s="3" t="s">
        <v>32</v>
      </c>
      <c r="E24" s="3">
        <v>6</v>
      </c>
      <c r="F24" s="4">
        <v>45000</v>
      </c>
      <c r="G24" s="4">
        <v>32000</v>
      </c>
      <c r="H24" s="4">
        <v>270000</v>
      </c>
      <c r="I24" s="1">
        <f t="shared" si="0"/>
        <v>78000</v>
      </c>
    </row>
    <row r="25" spans="1:9" x14ac:dyDescent="0.25">
      <c r="A25" s="2" t="s">
        <v>44</v>
      </c>
      <c r="B25" s="3" t="s">
        <v>39</v>
      </c>
      <c r="C25" s="3" t="s">
        <v>9</v>
      </c>
      <c r="D25" s="3" t="s">
        <v>28</v>
      </c>
      <c r="E25" s="3">
        <v>14</v>
      </c>
      <c r="F25" s="4">
        <v>3200</v>
      </c>
      <c r="G25" s="4">
        <v>1700</v>
      </c>
      <c r="H25" s="4">
        <v>44800</v>
      </c>
      <c r="I25" s="1">
        <f t="shared" si="0"/>
        <v>21000</v>
      </c>
    </row>
    <row r="26" spans="1:9" x14ac:dyDescent="0.25">
      <c r="A26" s="2" t="s">
        <v>45</v>
      </c>
      <c r="B26" s="3" t="s">
        <v>39</v>
      </c>
      <c r="C26" s="3" t="s">
        <v>12</v>
      </c>
      <c r="D26" s="3" t="s">
        <v>32</v>
      </c>
      <c r="E26" s="3">
        <v>19</v>
      </c>
      <c r="F26" s="4">
        <v>45000</v>
      </c>
      <c r="G26" s="4">
        <v>32000</v>
      </c>
      <c r="H26" s="4">
        <v>855000</v>
      </c>
      <c r="I26" s="1">
        <f t="shared" si="0"/>
        <v>247000</v>
      </c>
    </row>
    <row r="27" spans="1:9" x14ac:dyDescent="0.25">
      <c r="A27" s="2" t="s">
        <v>46</v>
      </c>
      <c r="B27" s="3" t="s">
        <v>4</v>
      </c>
      <c r="C27" s="3" t="s">
        <v>5</v>
      </c>
      <c r="D27" s="3" t="s">
        <v>20</v>
      </c>
      <c r="E27" s="3">
        <v>22</v>
      </c>
      <c r="F27" s="4">
        <v>22000</v>
      </c>
      <c r="G27" s="4">
        <v>15000</v>
      </c>
      <c r="H27" s="4">
        <v>484000</v>
      </c>
      <c r="I27" s="1">
        <f t="shared" si="0"/>
        <v>154000</v>
      </c>
    </row>
    <row r="28" spans="1:9" x14ac:dyDescent="0.25">
      <c r="A28" s="2" t="s">
        <v>47</v>
      </c>
      <c r="B28" s="3" t="s">
        <v>17</v>
      </c>
      <c r="C28" s="3" t="s">
        <v>5</v>
      </c>
      <c r="D28" s="3" t="s">
        <v>36</v>
      </c>
      <c r="E28" s="3">
        <v>15</v>
      </c>
      <c r="F28" s="4">
        <v>1800</v>
      </c>
      <c r="G28" s="4">
        <v>900</v>
      </c>
      <c r="H28" s="4">
        <v>27000</v>
      </c>
      <c r="I28" s="1">
        <f t="shared" si="0"/>
        <v>13500</v>
      </c>
    </row>
    <row r="29" spans="1:9" x14ac:dyDescent="0.25">
      <c r="A29" s="2" t="s">
        <v>48</v>
      </c>
      <c r="B29" s="3" t="s">
        <v>49</v>
      </c>
      <c r="C29" s="3" t="s">
        <v>31</v>
      </c>
      <c r="D29" s="3" t="s">
        <v>6</v>
      </c>
      <c r="E29" s="3">
        <v>8</v>
      </c>
      <c r="F29" s="4">
        <v>900</v>
      </c>
      <c r="G29" s="4">
        <v>400</v>
      </c>
      <c r="H29" s="4">
        <v>7200</v>
      </c>
      <c r="I29" s="1">
        <f t="shared" si="0"/>
        <v>4000</v>
      </c>
    </row>
    <row r="30" spans="1:9" x14ac:dyDescent="0.25">
      <c r="A30" s="2" t="s">
        <v>50</v>
      </c>
      <c r="B30" s="3" t="s">
        <v>17</v>
      </c>
      <c r="C30" s="3" t="s">
        <v>12</v>
      </c>
      <c r="D30" s="3" t="s">
        <v>6</v>
      </c>
      <c r="E30" s="3">
        <v>13</v>
      </c>
      <c r="F30" s="4">
        <v>900</v>
      </c>
      <c r="G30" s="4">
        <v>400</v>
      </c>
      <c r="H30" s="4">
        <v>11700</v>
      </c>
      <c r="I30" s="1">
        <f t="shared" si="0"/>
        <v>6500</v>
      </c>
    </row>
    <row r="31" spans="1:9" x14ac:dyDescent="0.25">
      <c r="A31" s="2" t="s">
        <v>50</v>
      </c>
      <c r="B31" s="3" t="s">
        <v>23</v>
      </c>
      <c r="C31" s="3" t="s">
        <v>31</v>
      </c>
      <c r="D31" s="3" t="s">
        <v>36</v>
      </c>
      <c r="E31" s="3">
        <v>21</v>
      </c>
      <c r="F31" s="4">
        <v>1800</v>
      </c>
      <c r="G31" s="4">
        <v>900</v>
      </c>
      <c r="H31" s="4">
        <v>37800</v>
      </c>
      <c r="I31" s="1">
        <f t="shared" si="0"/>
        <v>18900</v>
      </c>
    </row>
    <row r="32" spans="1:9" x14ac:dyDescent="0.25">
      <c r="A32" s="2" t="s">
        <v>51</v>
      </c>
      <c r="B32" s="3" t="s">
        <v>43</v>
      </c>
      <c r="C32" s="3" t="s">
        <v>9</v>
      </c>
      <c r="D32" s="3" t="s">
        <v>34</v>
      </c>
      <c r="E32" s="3">
        <v>3</v>
      </c>
      <c r="F32" s="4">
        <v>6500</v>
      </c>
      <c r="G32" s="4">
        <v>3500</v>
      </c>
      <c r="H32" s="4">
        <v>19500</v>
      </c>
      <c r="I32" s="1">
        <f t="shared" si="0"/>
        <v>9000</v>
      </c>
    </row>
    <row r="33" spans="1:9" x14ac:dyDescent="0.25">
      <c r="A33" s="2" t="s">
        <v>52</v>
      </c>
      <c r="B33" s="3" t="s">
        <v>22</v>
      </c>
      <c r="C33" s="3" t="s">
        <v>12</v>
      </c>
      <c r="D33" s="3" t="s">
        <v>10</v>
      </c>
      <c r="E33" s="3">
        <v>11</v>
      </c>
      <c r="F33" s="4">
        <v>18000</v>
      </c>
      <c r="G33" s="4">
        <v>12000</v>
      </c>
      <c r="H33" s="4">
        <v>198000</v>
      </c>
      <c r="I33" s="1">
        <f t="shared" si="0"/>
        <v>66000</v>
      </c>
    </row>
    <row r="34" spans="1:9" x14ac:dyDescent="0.25">
      <c r="A34" s="2" t="s">
        <v>53</v>
      </c>
      <c r="B34" s="3" t="s">
        <v>39</v>
      </c>
      <c r="C34" s="3" t="s">
        <v>15</v>
      </c>
      <c r="D34" s="3" t="s">
        <v>36</v>
      </c>
      <c r="E34" s="3">
        <v>4</v>
      </c>
      <c r="F34" s="4">
        <v>1800</v>
      </c>
      <c r="G34" s="4">
        <v>900</v>
      </c>
      <c r="H34" s="4">
        <v>7200</v>
      </c>
      <c r="I34" s="1">
        <f t="shared" si="0"/>
        <v>3600</v>
      </c>
    </row>
    <row r="35" spans="1:9" x14ac:dyDescent="0.25">
      <c r="A35" s="2" t="s">
        <v>54</v>
      </c>
      <c r="B35" s="3" t="s">
        <v>17</v>
      </c>
      <c r="C35" s="3" t="s">
        <v>9</v>
      </c>
      <c r="D35" s="3" t="s">
        <v>32</v>
      </c>
      <c r="E35" s="3">
        <v>18</v>
      </c>
      <c r="F35" s="4">
        <v>45000</v>
      </c>
      <c r="G35" s="4">
        <v>32000</v>
      </c>
      <c r="H35" s="4">
        <v>810000</v>
      </c>
      <c r="I35" s="1">
        <f t="shared" si="0"/>
        <v>234000</v>
      </c>
    </row>
    <row r="36" spans="1:9" x14ac:dyDescent="0.25">
      <c r="A36" s="2" t="s">
        <v>55</v>
      </c>
      <c r="B36" s="3" t="s">
        <v>43</v>
      </c>
      <c r="C36" s="3" t="s">
        <v>5</v>
      </c>
      <c r="D36" s="3" t="s">
        <v>10</v>
      </c>
      <c r="E36" s="3">
        <v>9</v>
      </c>
      <c r="F36" s="4">
        <v>18000</v>
      </c>
      <c r="G36" s="4">
        <v>12000</v>
      </c>
      <c r="H36" s="4">
        <v>162000</v>
      </c>
      <c r="I36" s="1">
        <f t="shared" si="0"/>
        <v>54000</v>
      </c>
    </row>
    <row r="37" spans="1:9" x14ac:dyDescent="0.25">
      <c r="A37" s="2" t="s">
        <v>55</v>
      </c>
      <c r="B37" s="3" t="s">
        <v>4</v>
      </c>
      <c r="C37" s="3" t="s">
        <v>31</v>
      </c>
      <c r="D37" s="3" t="s">
        <v>13</v>
      </c>
      <c r="E37" s="3">
        <v>15</v>
      </c>
      <c r="F37" s="4">
        <v>2500</v>
      </c>
      <c r="G37" s="4">
        <v>1200</v>
      </c>
      <c r="H37" s="4">
        <v>37500</v>
      </c>
      <c r="I37" s="1">
        <f t="shared" si="0"/>
        <v>19500</v>
      </c>
    </row>
    <row r="38" spans="1:9" x14ac:dyDescent="0.25">
      <c r="A38" s="2" t="s">
        <v>56</v>
      </c>
      <c r="B38" s="3" t="s">
        <v>19</v>
      </c>
      <c r="C38" s="3" t="s">
        <v>15</v>
      </c>
      <c r="D38" s="3" t="s">
        <v>30</v>
      </c>
      <c r="E38" s="3">
        <v>1</v>
      </c>
      <c r="F38" s="4">
        <v>12000</v>
      </c>
      <c r="G38" s="4">
        <v>8000</v>
      </c>
      <c r="H38" s="4">
        <v>12000</v>
      </c>
      <c r="I38" s="1">
        <f t="shared" si="0"/>
        <v>4000</v>
      </c>
    </row>
    <row r="39" spans="1:9" x14ac:dyDescent="0.25">
      <c r="A39" s="2" t="s">
        <v>56</v>
      </c>
      <c r="B39" s="3" t="s">
        <v>23</v>
      </c>
      <c r="C39" s="3" t="s">
        <v>9</v>
      </c>
      <c r="D39" s="3" t="s">
        <v>32</v>
      </c>
      <c r="E39" s="3">
        <v>20</v>
      </c>
      <c r="F39" s="4">
        <v>45000</v>
      </c>
      <c r="G39" s="4">
        <v>32000</v>
      </c>
      <c r="H39" s="4">
        <v>900000</v>
      </c>
      <c r="I39" s="1">
        <f t="shared" si="0"/>
        <v>260000</v>
      </c>
    </row>
    <row r="40" spans="1:9" x14ac:dyDescent="0.25">
      <c r="A40" s="2" t="s">
        <v>57</v>
      </c>
      <c r="B40" s="3" t="s">
        <v>17</v>
      </c>
      <c r="C40" s="3" t="s">
        <v>12</v>
      </c>
      <c r="D40" s="3" t="s">
        <v>24</v>
      </c>
      <c r="E40" s="3">
        <v>4</v>
      </c>
      <c r="F40" s="4">
        <v>9500</v>
      </c>
      <c r="G40" s="4">
        <v>6500</v>
      </c>
      <c r="H40" s="4">
        <v>38000</v>
      </c>
      <c r="I40" s="1">
        <f t="shared" si="0"/>
        <v>12000</v>
      </c>
    </row>
    <row r="41" spans="1:9" x14ac:dyDescent="0.25">
      <c r="A41" s="2" t="s">
        <v>58</v>
      </c>
      <c r="B41" s="3" t="s">
        <v>27</v>
      </c>
      <c r="C41" s="3" t="s">
        <v>12</v>
      </c>
      <c r="D41" s="3" t="s">
        <v>6</v>
      </c>
      <c r="E41" s="3">
        <v>15</v>
      </c>
      <c r="F41" s="4">
        <v>900</v>
      </c>
      <c r="G41" s="4">
        <v>400</v>
      </c>
      <c r="H41" s="4">
        <v>13500</v>
      </c>
      <c r="I41" s="1">
        <f t="shared" si="0"/>
        <v>7500</v>
      </c>
    </row>
    <row r="42" spans="1:9" x14ac:dyDescent="0.25">
      <c r="A42" s="2" t="s">
        <v>58</v>
      </c>
      <c r="B42" s="3" t="s">
        <v>17</v>
      </c>
      <c r="C42" s="3" t="s">
        <v>5</v>
      </c>
      <c r="D42" s="3" t="s">
        <v>6</v>
      </c>
      <c r="E42" s="3">
        <v>2</v>
      </c>
      <c r="F42" s="4">
        <v>900</v>
      </c>
      <c r="G42" s="4">
        <v>400</v>
      </c>
      <c r="H42" s="4">
        <v>1800</v>
      </c>
      <c r="I42" s="1">
        <f t="shared" si="0"/>
        <v>1000</v>
      </c>
    </row>
    <row r="43" spans="1:9" x14ac:dyDescent="0.25">
      <c r="A43" s="2" t="s">
        <v>58</v>
      </c>
      <c r="B43" s="3" t="s">
        <v>22</v>
      </c>
      <c r="C43" s="3" t="s">
        <v>5</v>
      </c>
      <c r="D43" s="3" t="s">
        <v>24</v>
      </c>
      <c r="E43" s="3">
        <v>4</v>
      </c>
      <c r="F43" s="4">
        <v>9500</v>
      </c>
      <c r="G43" s="4">
        <v>6500</v>
      </c>
      <c r="H43" s="4">
        <v>38000</v>
      </c>
      <c r="I43" s="1">
        <f t="shared" si="0"/>
        <v>12000</v>
      </c>
    </row>
    <row r="44" spans="1:9" x14ac:dyDescent="0.25">
      <c r="A44" s="2" t="s">
        <v>59</v>
      </c>
      <c r="B44" s="3" t="s">
        <v>8</v>
      </c>
      <c r="C44" s="3" t="s">
        <v>31</v>
      </c>
      <c r="D44" s="3" t="s">
        <v>30</v>
      </c>
      <c r="E44" s="3">
        <v>21</v>
      </c>
      <c r="F44" s="4">
        <v>12000</v>
      </c>
      <c r="G44" s="4">
        <v>8000</v>
      </c>
      <c r="H44" s="4">
        <v>252000</v>
      </c>
      <c r="I44" s="1">
        <f t="shared" si="0"/>
        <v>84000</v>
      </c>
    </row>
    <row r="45" spans="1:9" x14ac:dyDescent="0.25">
      <c r="A45" s="2" t="s">
        <v>59</v>
      </c>
      <c r="B45" s="3" t="s">
        <v>49</v>
      </c>
      <c r="C45" s="3" t="s">
        <v>12</v>
      </c>
      <c r="D45" s="3" t="s">
        <v>20</v>
      </c>
      <c r="E45" s="3">
        <v>15</v>
      </c>
      <c r="F45" s="4">
        <v>22000</v>
      </c>
      <c r="G45" s="4">
        <v>15000</v>
      </c>
      <c r="H45" s="4">
        <v>330000</v>
      </c>
      <c r="I45" s="1">
        <f t="shared" si="0"/>
        <v>105000</v>
      </c>
    </row>
    <row r="46" spans="1:9" x14ac:dyDescent="0.25">
      <c r="A46" s="2" t="s">
        <v>59</v>
      </c>
      <c r="B46" s="3" t="s">
        <v>22</v>
      </c>
      <c r="C46" s="3" t="s">
        <v>12</v>
      </c>
      <c r="D46" s="3" t="s">
        <v>10</v>
      </c>
      <c r="E46" s="3">
        <v>11</v>
      </c>
      <c r="F46" s="4">
        <v>18000</v>
      </c>
      <c r="G46" s="4">
        <v>12000</v>
      </c>
      <c r="H46" s="4">
        <v>198000</v>
      </c>
      <c r="I46" s="1">
        <f t="shared" si="0"/>
        <v>66000</v>
      </c>
    </row>
    <row r="47" spans="1:9" x14ac:dyDescent="0.25">
      <c r="A47" s="2" t="s">
        <v>59</v>
      </c>
      <c r="B47" s="3" t="s">
        <v>43</v>
      </c>
      <c r="C47" s="3" t="s">
        <v>12</v>
      </c>
      <c r="D47" s="3" t="s">
        <v>30</v>
      </c>
      <c r="E47" s="3">
        <v>4</v>
      </c>
      <c r="F47" s="4">
        <v>12000</v>
      </c>
      <c r="G47" s="4">
        <v>8000</v>
      </c>
      <c r="H47" s="4">
        <v>48000</v>
      </c>
      <c r="I47" s="1">
        <f t="shared" si="0"/>
        <v>16000</v>
      </c>
    </row>
    <row r="48" spans="1:9" x14ac:dyDescent="0.25">
      <c r="A48" s="2" t="s">
        <v>60</v>
      </c>
      <c r="B48" s="3" t="s">
        <v>23</v>
      </c>
      <c r="C48" s="3" t="s">
        <v>12</v>
      </c>
      <c r="D48" s="3" t="s">
        <v>30</v>
      </c>
      <c r="E48" s="3">
        <v>7</v>
      </c>
      <c r="F48" s="4">
        <v>12000</v>
      </c>
      <c r="G48" s="4">
        <v>8000</v>
      </c>
      <c r="H48" s="4">
        <v>84000</v>
      </c>
      <c r="I48" s="1">
        <f t="shared" si="0"/>
        <v>28000</v>
      </c>
    </row>
    <row r="49" spans="1:9" x14ac:dyDescent="0.25">
      <c r="A49" s="2" t="s">
        <v>61</v>
      </c>
      <c r="B49" s="3" t="s">
        <v>27</v>
      </c>
      <c r="C49" s="3" t="s">
        <v>9</v>
      </c>
      <c r="D49" s="3" t="s">
        <v>34</v>
      </c>
      <c r="E49" s="3">
        <v>5</v>
      </c>
      <c r="F49" s="4">
        <v>6500</v>
      </c>
      <c r="G49" s="4">
        <v>3500</v>
      </c>
      <c r="H49" s="4">
        <v>32500</v>
      </c>
      <c r="I49" s="1">
        <f t="shared" si="0"/>
        <v>15000</v>
      </c>
    </row>
    <row r="50" spans="1:9" x14ac:dyDescent="0.25">
      <c r="A50" s="2" t="s">
        <v>61</v>
      </c>
      <c r="B50" s="3" t="s">
        <v>19</v>
      </c>
      <c r="C50" s="3" t="s">
        <v>5</v>
      </c>
      <c r="D50" s="3" t="s">
        <v>28</v>
      </c>
      <c r="E50" s="3">
        <v>20</v>
      </c>
      <c r="F50" s="4">
        <v>3200</v>
      </c>
      <c r="G50" s="4">
        <v>1700</v>
      </c>
      <c r="H50" s="4">
        <v>64000</v>
      </c>
      <c r="I50" s="1">
        <f t="shared" si="0"/>
        <v>30000</v>
      </c>
    </row>
    <row r="51" spans="1:9" x14ac:dyDescent="0.25">
      <c r="A51" s="2" t="s">
        <v>62</v>
      </c>
      <c r="B51" s="3" t="s">
        <v>27</v>
      </c>
      <c r="C51" s="3" t="s">
        <v>12</v>
      </c>
      <c r="D51" s="3" t="s">
        <v>34</v>
      </c>
      <c r="E51" s="3">
        <v>1</v>
      </c>
      <c r="F51" s="4">
        <v>6500</v>
      </c>
      <c r="G51" s="4">
        <v>3500</v>
      </c>
      <c r="H51" s="4">
        <v>6500</v>
      </c>
      <c r="I51" s="1">
        <f t="shared" si="0"/>
        <v>3000</v>
      </c>
    </row>
    <row r="52" spans="1:9" x14ac:dyDescent="0.25">
      <c r="A52" s="2" t="s">
        <v>63</v>
      </c>
      <c r="B52" s="3" t="s">
        <v>17</v>
      </c>
      <c r="C52" s="3" t="s">
        <v>9</v>
      </c>
      <c r="D52" s="3" t="s">
        <v>36</v>
      </c>
      <c r="E52" s="3">
        <v>5</v>
      </c>
      <c r="F52" s="4">
        <v>1800</v>
      </c>
      <c r="G52" s="4">
        <v>900</v>
      </c>
      <c r="H52" s="4">
        <v>9000</v>
      </c>
      <c r="I52" s="1">
        <f t="shared" si="0"/>
        <v>4500</v>
      </c>
    </row>
    <row r="53" spans="1:9" x14ac:dyDescent="0.25">
      <c r="A53" s="2" t="s">
        <v>64</v>
      </c>
      <c r="B53" s="3" t="s">
        <v>17</v>
      </c>
      <c r="C53" s="3" t="s">
        <v>31</v>
      </c>
      <c r="D53" s="3" t="s">
        <v>10</v>
      </c>
      <c r="E53" s="3">
        <v>11</v>
      </c>
      <c r="F53" s="4">
        <v>18000</v>
      </c>
      <c r="G53" s="4">
        <v>12000</v>
      </c>
      <c r="H53" s="4">
        <v>198000</v>
      </c>
      <c r="I53" s="1">
        <f t="shared" si="0"/>
        <v>66000</v>
      </c>
    </row>
    <row r="54" spans="1:9" x14ac:dyDescent="0.25">
      <c r="A54" s="2" t="s">
        <v>65</v>
      </c>
      <c r="B54" s="3" t="s">
        <v>27</v>
      </c>
      <c r="C54" s="3" t="s">
        <v>9</v>
      </c>
      <c r="D54" s="3" t="s">
        <v>32</v>
      </c>
      <c r="E54" s="3">
        <v>10</v>
      </c>
      <c r="F54" s="4">
        <v>45000</v>
      </c>
      <c r="G54" s="4">
        <v>32000</v>
      </c>
      <c r="H54" s="4">
        <v>450000</v>
      </c>
      <c r="I54" s="1">
        <f t="shared" si="0"/>
        <v>130000</v>
      </c>
    </row>
    <row r="55" spans="1:9" x14ac:dyDescent="0.25">
      <c r="A55" s="2" t="s">
        <v>66</v>
      </c>
      <c r="B55" s="3" t="s">
        <v>19</v>
      </c>
      <c r="C55" s="3" t="s">
        <v>15</v>
      </c>
      <c r="D55" s="3" t="s">
        <v>36</v>
      </c>
      <c r="E55" s="3">
        <v>19</v>
      </c>
      <c r="F55" s="4">
        <v>1800</v>
      </c>
      <c r="G55" s="4">
        <v>900</v>
      </c>
      <c r="H55" s="4">
        <v>34200</v>
      </c>
      <c r="I55" s="1">
        <f t="shared" si="0"/>
        <v>17100</v>
      </c>
    </row>
    <row r="56" spans="1:9" x14ac:dyDescent="0.25">
      <c r="A56" s="2" t="s">
        <v>67</v>
      </c>
      <c r="B56" s="3" t="s">
        <v>27</v>
      </c>
      <c r="C56" s="3" t="s">
        <v>9</v>
      </c>
      <c r="D56" s="3" t="s">
        <v>24</v>
      </c>
      <c r="E56" s="3">
        <v>4</v>
      </c>
      <c r="F56" s="4">
        <v>9500</v>
      </c>
      <c r="G56" s="4">
        <v>6500</v>
      </c>
      <c r="H56" s="4">
        <v>38000</v>
      </c>
      <c r="I56" s="1">
        <f t="shared" si="0"/>
        <v>12000</v>
      </c>
    </row>
    <row r="57" spans="1:9" x14ac:dyDescent="0.25">
      <c r="A57" s="2" t="s">
        <v>68</v>
      </c>
      <c r="B57" s="3" t="s">
        <v>8</v>
      </c>
      <c r="C57" s="3" t="s">
        <v>15</v>
      </c>
      <c r="D57" s="3" t="s">
        <v>34</v>
      </c>
      <c r="E57" s="3">
        <v>20</v>
      </c>
      <c r="F57" s="4">
        <v>6500</v>
      </c>
      <c r="G57" s="4">
        <v>3500</v>
      </c>
      <c r="H57" s="4">
        <v>130000</v>
      </c>
      <c r="I57" s="1">
        <f t="shared" si="0"/>
        <v>60000</v>
      </c>
    </row>
    <row r="58" spans="1:9" x14ac:dyDescent="0.25">
      <c r="A58" s="2" t="s">
        <v>68</v>
      </c>
      <c r="B58" s="3" t="s">
        <v>39</v>
      </c>
      <c r="C58" s="3" t="s">
        <v>12</v>
      </c>
      <c r="D58" s="3" t="s">
        <v>30</v>
      </c>
      <c r="E58" s="3">
        <v>8</v>
      </c>
      <c r="F58" s="4">
        <v>12000</v>
      </c>
      <c r="G58" s="4">
        <v>8000</v>
      </c>
      <c r="H58" s="4">
        <v>96000</v>
      </c>
      <c r="I58" s="1">
        <f t="shared" si="0"/>
        <v>32000</v>
      </c>
    </row>
    <row r="59" spans="1:9" x14ac:dyDescent="0.25">
      <c r="A59" s="2" t="s">
        <v>69</v>
      </c>
      <c r="B59" s="3" t="s">
        <v>49</v>
      </c>
      <c r="C59" s="3" t="s">
        <v>15</v>
      </c>
      <c r="D59" s="3" t="s">
        <v>20</v>
      </c>
      <c r="E59" s="3">
        <v>12</v>
      </c>
      <c r="F59" s="4">
        <v>22000</v>
      </c>
      <c r="G59" s="4">
        <v>15000</v>
      </c>
      <c r="H59" s="4">
        <v>264000</v>
      </c>
      <c r="I59" s="1">
        <f t="shared" si="0"/>
        <v>84000</v>
      </c>
    </row>
    <row r="60" spans="1:9" x14ac:dyDescent="0.25">
      <c r="A60" s="2" t="s">
        <v>70</v>
      </c>
      <c r="B60" s="3" t="s">
        <v>8</v>
      </c>
      <c r="C60" s="3" t="s">
        <v>9</v>
      </c>
      <c r="D60" s="3" t="s">
        <v>36</v>
      </c>
      <c r="E60" s="3">
        <v>9</v>
      </c>
      <c r="F60" s="4">
        <v>1800</v>
      </c>
      <c r="G60" s="4">
        <v>900</v>
      </c>
      <c r="H60" s="4">
        <v>16200</v>
      </c>
      <c r="I60" s="1">
        <f t="shared" si="0"/>
        <v>8100</v>
      </c>
    </row>
    <row r="61" spans="1:9" x14ac:dyDescent="0.25">
      <c r="A61" s="2" t="s">
        <v>70</v>
      </c>
      <c r="B61" s="3" t="s">
        <v>23</v>
      </c>
      <c r="C61" s="3" t="s">
        <v>31</v>
      </c>
      <c r="D61" s="3" t="s">
        <v>20</v>
      </c>
      <c r="E61" s="3">
        <v>24</v>
      </c>
      <c r="F61" s="4">
        <v>22000</v>
      </c>
      <c r="G61" s="4">
        <v>15000</v>
      </c>
      <c r="H61" s="4">
        <v>528000</v>
      </c>
      <c r="I61" s="1">
        <f t="shared" si="0"/>
        <v>168000</v>
      </c>
    </row>
    <row r="62" spans="1:9" x14ac:dyDescent="0.25">
      <c r="A62" s="2" t="s">
        <v>71</v>
      </c>
      <c r="B62" s="3" t="s">
        <v>27</v>
      </c>
      <c r="C62" s="3" t="s">
        <v>12</v>
      </c>
      <c r="D62" s="3" t="s">
        <v>6</v>
      </c>
      <c r="E62" s="3">
        <v>6</v>
      </c>
      <c r="F62" s="4">
        <v>900</v>
      </c>
      <c r="G62" s="4">
        <v>400</v>
      </c>
      <c r="H62" s="4">
        <v>5400</v>
      </c>
      <c r="I62" s="1">
        <f t="shared" si="0"/>
        <v>3000</v>
      </c>
    </row>
    <row r="63" spans="1:9" x14ac:dyDescent="0.25">
      <c r="A63" s="2" t="s">
        <v>71</v>
      </c>
      <c r="B63" s="3" t="s">
        <v>43</v>
      </c>
      <c r="C63" s="3" t="s">
        <v>31</v>
      </c>
      <c r="D63" s="3" t="s">
        <v>13</v>
      </c>
      <c r="E63" s="3">
        <v>24</v>
      </c>
      <c r="F63" s="4">
        <v>2500</v>
      </c>
      <c r="G63" s="4">
        <v>1200</v>
      </c>
      <c r="H63" s="4">
        <v>60000</v>
      </c>
      <c r="I63" s="1">
        <f t="shared" si="0"/>
        <v>31200</v>
      </c>
    </row>
    <row r="64" spans="1:9" x14ac:dyDescent="0.25">
      <c r="A64" s="2" t="s">
        <v>72</v>
      </c>
      <c r="B64" s="3" t="s">
        <v>8</v>
      </c>
      <c r="C64" s="3" t="s">
        <v>12</v>
      </c>
      <c r="D64" s="3" t="s">
        <v>36</v>
      </c>
      <c r="E64" s="3">
        <v>7</v>
      </c>
      <c r="F64" s="4">
        <v>1800</v>
      </c>
      <c r="G64" s="4">
        <v>900</v>
      </c>
      <c r="H64" s="4">
        <v>12600</v>
      </c>
      <c r="I64" s="1">
        <f t="shared" si="0"/>
        <v>6300</v>
      </c>
    </row>
    <row r="65" spans="1:9" x14ac:dyDescent="0.25">
      <c r="A65" s="2" t="s">
        <v>73</v>
      </c>
      <c r="B65" s="3" t="s">
        <v>19</v>
      </c>
      <c r="C65" s="3" t="s">
        <v>12</v>
      </c>
      <c r="D65" s="3" t="s">
        <v>20</v>
      </c>
      <c r="E65" s="3">
        <v>12</v>
      </c>
      <c r="F65" s="4">
        <v>22000</v>
      </c>
      <c r="G65" s="4">
        <v>15000</v>
      </c>
      <c r="H65" s="4">
        <v>264000</v>
      </c>
      <c r="I65" s="1">
        <f t="shared" si="0"/>
        <v>84000</v>
      </c>
    </row>
    <row r="66" spans="1:9" x14ac:dyDescent="0.25">
      <c r="A66" s="2" t="s">
        <v>74</v>
      </c>
      <c r="B66" s="3" t="s">
        <v>23</v>
      </c>
      <c r="C66" s="3" t="s">
        <v>12</v>
      </c>
      <c r="D66" s="3" t="s">
        <v>20</v>
      </c>
      <c r="E66" s="3">
        <v>2</v>
      </c>
      <c r="F66" s="4">
        <v>22000</v>
      </c>
      <c r="G66" s="4">
        <v>15000</v>
      </c>
      <c r="H66" s="4">
        <v>44000</v>
      </c>
      <c r="I66" s="1">
        <f t="shared" si="0"/>
        <v>14000</v>
      </c>
    </row>
    <row r="67" spans="1:9" x14ac:dyDescent="0.25">
      <c r="A67" s="2" t="s">
        <v>75</v>
      </c>
      <c r="B67" s="3" t="s">
        <v>4</v>
      </c>
      <c r="C67" s="3" t="s">
        <v>12</v>
      </c>
      <c r="D67" s="3" t="s">
        <v>6</v>
      </c>
      <c r="E67" s="3">
        <v>23</v>
      </c>
      <c r="F67" s="4">
        <v>900</v>
      </c>
      <c r="G67" s="4">
        <v>400</v>
      </c>
      <c r="H67" s="4">
        <v>20700</v>
      </c>
      <c r="I67" s="1">
        <f t="shared" ref="I67:I101" si="1">H67-(G67*E67)</f>
        <v>11500</v>
      </c>
    </row>
    <row r="68" spans="1:9" x14ac:dyDescent="0.25">
      <c r="A68" s="2" t="s">
        <v>75</v>
      </c>
      <c r="B68" s="3" t="s">
        <v>23</v>
      </c>
      <c r="C68" s="3" t="s">
        <v>9</v>
      </c>
      <c r="D68" s="3" t="s">
        <v>13</v>
      </c>
      <c r="E68" s="3">
        <v>14</v>
      </c>
      <c r="F68" s="4">
        <v>2500</v>
      </c>
      <c r="G68" s="4">
        <v>1200</v>
      </c>
      <c r="H68" s="4">
        <v>35000</v>
      </c>
      <c r="I68" s="1">
        <f t="shared" si="1"/>
        <v>18200</v>
      </c>
    </row>
    <row r="69" spans="1:9" x14ac:dyDescent="0.25">
      <c r="A69" s="2" t="s">
        <v>76</v>
      </c>
      <c r="B69" s="3" t="s">
        <v>49</v>
      </c>
      <c r="C69" s="3" t="s">
        <v>9</v>
      </c>
      <c r="D69" s="3" t="s">
        <v>34</v>
      </c>
      <c r="E69" s="3">
        <v>4</v>
      </c>
      <c r="F69" s="4">
        <v>6500</v>
      </c>
      <c r="G69" s="4">
        <v>3500</v>
      </c>
      <c r="H69" s="4">
        <v>26000</v>
      </c>
      <c r="I69" s="1">
        <f t="shared" si="1"/>
        <v>12000</v>
      </c>
    </row>
    <row r="70" spans="1:9" x14ac:dyDescent="0.25">
      <c r="A70" s="2" t="s">
        <v>76</v>
      </c>
      <c r="B70" s="3" t="s">
        <v>43</v>
      </c>
      <c r="C70" s="3" t="s">
        <v>9</v>
      </c>
      <c r="D70" s="3" t="s">
        <v>24</v>
      </c>
      <c r="E70" s="3">
        <v>1</v>
      </c>
      <c r="F70" s="4">
        <v>9500</v>
      </c>
      <c r="G70" s="4">
        <v>6500</v>
      </c>
      <c r="H70" s="4">
        <v>9500</v>
      </c>
      <c r="I70" s="1">
        <f t="shared" si="1"/>
        <v>3000</v>
      </c>
    </row>
    <row r="71" spans="1:9" x14ac:dyDescent="0.25">
      <c r="A71" s="2" t="s">
        <v>77</v>
      </c>
      <c r="B71" s="3" t="s">
        <v>8</v>
      </c>
      <c r="C71" s="3" t="s">
        <v>9</v>
      </c>
      <c r="D71" s="3" t="s">
        <v>6</v>
      </c>
      <c r="E71" s="3">
        <v>21</v>
      </c>
      <c r="F71" s="4">
        <v>900</v>
      </c>
      <c r="G71" s="4">
        <v>400</v>
      </c>
      <c r="H71" s="4">
        <v>18900</v>
      </c>
      <c r="I71" s="1">
        <f t="shared" si="1"/>
        <v>10500</v>
      </c>
    </row>
    <row r="72" spans="1:9" x14ac:dyDescent="0.25">
      <c r="A72" s="2" t="s">
        <v>78</v>
      </c>
      <c r="B72" s="3" t="s">
        <v>22</v>
      </c>
      <c r="C72" s="3" t="s">
        <v>5</v>
      </c>
      <c r="D72" s="3" t="s">
        <v>6</v>
      </c>
      <c r="E72" s="3">
        <v>15</v>
      </c>
      <c r="F72" s="4">
        <v>900</v>
      </c>
      <c r="G72" s="4">
        <v>400</v>
      </c>
      <c r="H72" s="4">
        <v>13500</v>
      </c>
      <c r="I72" s="1">
        <f t="shared" si="1"/>
        <v>7500</v>
      </c>
    </row>
    <row r="73" spans="1:9" x14ac:dyDescent="0.25">
      <c r="A73" s="2" t="s">
        <v>78</v>
      </c>
      <c r="B73" s="3" t="s">
        <v>39</v>
      </c>
      <c r="C73" s="3" t="s">
        <v>5</v>
      </c>
      <c r="D73" s="3" t="s">
        <v>30</v>
      </c>
      <c r="E73" s="3">
        <v>6</v>
      </c>
      <c r="F73" s="4">
        <v>12000</v>
      </c>
      <c r="G73" s="4">
        <v>8000</v>
      </c>
      <c r="H73" s="4">
        <v>72000</v>
      </c>
      <c r="I73" s="1">
        <f t="shared" si="1"/>
        <v>24000</v>
      </c>
    </row>
    <row r="74" spans="1:9" x14ac:dyDescent="0.25">
      <c r="A74" s="2" t="s">
        <v>79</v>
      </c>
      <c r="B74" s="3" t="s">
        <v>23</v>
      </c>
      <c r="C74" s="3" t="s">
        <v>12</v>
      </c>
      <c r="D74" s="3" t="s">
        <v>6</v>
      </c>
      <c r="E74" s="3">
        <v>2</v>
      </c>
      <c r="F74" s="4">
        <v>900</v>
      </c>
      <c r="G74" s="4">
        <v>400</v>
      </c>
      <c r="H74" s="4">
        <v>1800</v>
      </c>
      <c r="I74" s="1">
        <f t="shared" si="1"/>
        <v>1000</v>
      </c>
    </row>
    <row r="75" spans="1:9" x14ac:dyDescent="0.25">
      <c r="A75" s="2" t="s">
        <v>80</v>
      </c>
      <c r="B75" s="3" t="s">
        <v>39</v>
      </c>
      <c r="C75" s="3" t="s">
        <v>9</v>
      </c>
      <c r="D75" s="3" t="s">
        <v>13</v>
      </c>
      <c r="E75" s="3">
        <v>7</v>
      </c>
      <c r="F75" s="4">
        <v>2500</v>
      </c>
      <c r="G75" s="4">
        <v>1200</v>
      </c>
      <c r="H75" s="4">
        <v>17500</v>
      </c>
      <c r="I75" s="1">
        <f t="shared" si="1"/>
        <v>9100</v>
      </c>
    </row>
    <row r="76" spans="1:9" x14ac:dyDescent="0.25">
      <c r="A76" s="2" t="s">
        <v>81</v>
      </c>
      <c r="B76" s="3" t="s">
        <v>19</v>
      </c>
      <c r="C76" s="3" t="s">
        <v>15</v>
      </c>
      <c r="D76" s="3" t="s">
        <v>20</v>
      </c>
      <c r="E76" s="3">
        <v>22</v>
      </c>
      <c r="F76" s="4">
        <v>22000</v>
      </c>
      <c r="G76" s="4">
        <v>15000</v>
      </c>
      <c r="H76" s="4">
        <v>484000</v>
      </c>
      <c r="I76" s="1">
        <f t="shared" si="1"/>
        <v>154000</v>
      </c>
    </row>
    <row r="77" spans="1:9" x14ac:dyDescent="0.25">
      <c r="A77" s="2" t="s">
        <v>82</v>
      </c>
      <c r="B77" s="3" t="s">
        <v>27</v>
      </c>
      <c r="C77" s="3" t="s">
        <v>12</v>
      </c>
      <c r="D77" s="3" t="s">
        <v>28</v>
      </c>
      <c r="E77" s="3">
        <v>19</v>
      </c>
      <c r="F77" s="4">
        <v>3200</v>
      </c>
      <c r="G77" s="4">
        <v>1700</v>
      </c>
      <c r="H77" s="4">
        <v>60800</v>
      </c>
      <c r="I77" s="1">
        <f t="shared" si="1"/>
        <v>28500</v>
      </c>
    </row>
    <row r="78" spans="1:9" x14ac:dyDescent="0.25">
      <c r="A78" s="2" t="s">
        <v>83</v>
      </c>
      <c r="B78" s="3" t="s">
        <v>23</v>
      </c>
      <c r="C78" s="3" t="s">
        <v>15</v>
      </c>
      <c r="D78" s="3" t="s">
        <v>10</v>
      </c>
      <c r="E78" s="3">
        <v>13</v>
      </c>
      <c r="F78" s="4">
        <v>18000</v>
      </c>
      <c r="G78" s="4">
        <v>12000</v>
      </c>
      <c r="H78" s="4">
        <v>234000</v>
      </c>
      <c r="I78" s="1">
        <f t="shared" si="1"/>
        <v>78000</v>
      </c>
    </row>
    <row r="79" spans="1:9" x14ac:dyDescent="0.25">
      <c r="A79" s="2" t="s">
        <v>83</v>
      </c>
      <c r="B79" s="3" t="s">
        <v>22</v>
      </c>
      <c r="C79" s="3" t="s">
        <v>15</v>
      </c>
      <c r="D79" s="3" t="s">
        <v>20</v>
      </c>
      <c r="E79" s="3">
        <v>7</v>
      </c>
      <c r="F79" s="4">
        <v>22000</v>
      </c>
      <c r="G79" s="4">
        <v>15000</v>
      </c>
      <c r="H79" s="4">
        <v>154000</v>
      </c>
      <c r="I79" s="1">
        <f t="shared" si="1"/>
        <v>49000</v>
      </c>
    </row>
    <row r="80" spans="1:9" x14ac:dyDescent="0.25">
      <c r="A80" s="2" t="s">
        <v>84</v>
      </c>
      <c r="B80" s="3" t="s">
        <v>4</v>
      </c>
      <c r="C80" s="3" t="s">
        <v>5</v>
      </c>
      <c r="D80" s="3" t="s">
        <v>10</v>
      </c>
      <c r="E80" s="3">
        <v>15</v>
      </c>
      <c r="F80" s="4">
        <v>18000</v>
      </c>
      <c r="G80" s="4">
        <v>12000</v>
      </c>
      <c r="H80" s="4">
        <v>270000</v>
      </c>
      <c r="I80" s="1">
        <f t="shared" si="1"/>
        <v>90000</v>
      </c>
    </row>
    <row r="81" spans="1:9" x14ac:dyDescent="0.25">
      <c r="A81" s="2" t="s">
        <v>85</v>
      </c>
      <c r="B81" s="3" t="s">
        <v>22</v>
      </c>
      <c r="C81" s="3" t="s">
        <v>9</v>
      </c>
      <c r="D81" s="3" t="s">
        <v>24</v>
      </c>
      <c r="E81" s="3">
        <v>22</v>
      </c>
      <c r="F81" s="4">
        <v>9500</v>
      </c>
      <c r="G81" s="4">
        <v>6500</v>
      </c>
      <c r="H81" s="4">
        <v>209000</v>
      </c>
      <c r="I81" s="1">
        <f t="shared" si="1"/>
        <v>66000</v>
      </c>
    </row>
    <row r="82" spans="1:9" x14ac:dyDescent="0.25">
      <c r="A82" s="2" t="s">
        <v>86</v>
      </c>
      <c r="B82" s="3" t="s">
        <v>17</v>
      </c>
      <c r="C82" s="3" t="s">
        <v>5</v>
      </c>
      <c r="D82" s="3" t="s">
        <v>24</v>
      </c>
      <c r="E82" s="3">
        <v>1</v>
      </c>
      <c r="F82" s="4">
        <v>9500</v>
      </c>
      <c r="G82" s="4">
        <v>6500</v>
      </c>
      <c r="H82" s="4">
        <v>9500</v>
      </c>
      <c r="I82" s="1">
        <f t="shared" si="1"/>
        <v>3000</v>
      </c>
    </row>
    <row r="83" spans="1:9" x14ac:dyDescent="0.25">
      <c r="A83" s="2" t="s">
        <v>87</v>
      </c>
      <c r="B83" s="3" t="s">
        <v>17</v>
      </c>
      <c r="C83" s="3" t="s">
        <v>31</v>
      </c>
      <c r="D83" s="3" t="s">
        <v>24</v>
      </c>
      <c r="E83" s="3">
        <v>1</v>
      </c>
      <c r="F83" s="4">
        <v>9500</v>
      </c>
      <c r="G83" s="4">
        <v>6500</v>
      </c>
      <c r="H83" s="4">
        <v>9500</v>
      </c>
      <c r="I83" s="1">
        <f t="shared" si="1"/>
        <v>3000</v>
      </c>
    </row>
    <row r="84" spans="1:9" x14ac:dyDescent="0.25">
      <c r="A84" s="2" t="s">
        <v>88</v>
      </c>
      <c r="B84" s="3" t="s">
        <v>19</v>
      </c>
      <c r="C84" s="3" t="s">
        <v>5</v>
      </c>
      <c r="D84" s="3" t="s">
        <v>32</v>
      </c>
      <c r="E84" s="3">
        <v>6</v>
      </c>
      <c r="F84" s="4">
        <v>45000</v>
      </c>
      <c r="G84" s="4">
        <v>32000</v>
      </c>
      <c r="H84" s="4">
        <v>270000</v>
      </c>
      <c r="I84" s="1">
        <f t="shared" si="1"/>
        <v>78000</v>
      </c>
    </row>
    <row r="85" spans="1:9" x14ac:dyDescent="0.25">
      <c r="A85" s="2" t="s">
        <v>89</v>
      </c>
      <c r="B85" s="3" t="s">
        <v>19</v>
      </c>
      <c r="C85" s="3" t="s">
        <v>9</v>
      </c>
      <c r="D85" s="3" t="s">
        <v>13</v>
      </c>
      <c r="E85" s="3">
        <v>24</v>
      </c>
      <c r="F85" s="4">
        <v>2500</v>
      </c>
      <c r="G85" s="4">
        <v>1200</v>
      </c>
      <c r="H85" s="4">
        <v>60000</v>
      </c>
      <c r="I85" s="1">
        <f t="shared" si="1"/>
        <v>31200</v>
      </c>
    </row>
    <row r="86" spans="1:9" x14ac:dyDescent="0.25">
      <c r="A86" s="2" t="s">
        <v>90</v>
      </c>
      <c r="B86" s="3" t="s">
        <v>27</v>
      </c>
      <c r="C86" s="3" t="s">
        <v>5</v>
      </c>
      <c r="D86" s="3" t="s">
        <v>13</v>
      </c>
      <c r="E86" s="3">
        <v>9</v>
      </c>
      <c r="F86" s="4">
        <v>2500</v>
      </c>
      <c r="G86" s="4">
        <v>1200</v>
      </c>
      <c r="H86" s="4">
        <v>22500</v>
      </c>
      <c r="I86" s="1">
        <f t="shared" si="1"/>
        <v>11700</v>
      </c>
    </row>
    <row r="87" spans="1:9" x14ac:dyDescent="0.25">
      <c r="A87" s="2" t="s">
        <v>91</v>
      </c>
      <c r="B87" s="3" t="s">
        <v>39</v>
      </c>
      <c r="C87" s="3" t="s">
        <v>12</v>
      </c>
      <c r="D87" s="3" t="s">
        <v>30</v>
      </c>
      <c r="E87" s="3">
        <v>3</v>
      </c>
      <c r="F87" s="4">
        <v>12000</v>
      </c>
      <c r="G87" s="4">
        <v>8000</v>
      </c>
      <c r="H87" s="4">
        <v>36000</v>
      </c>
      <c r="I87" s="1">
        <f t="shared" si="1"/>
        <v>12000</v>
      </c>
    </row>
    <row r="88" spans="1:9" x14ac:dyDescent="0.25">
      <c r="A88" s="2" t="s">
        <v>92</v>
      </c>
      <c r="B88" s="3" t="s">
        <v>27</v>
      </c>
      <c r="C88" s="3" t="s">
        <v>9</v>
      </c>
      <c r="D88" s="3" t="s">
        <v>30</v>
      </c>
      <c r="E88" s="3">
        <v>1</v>
      </c>
      <c r="F88" s="4">
        <v>12000</v>
      </c>
      <c r="G88" s="4">
        <v>8000</v>
      </c>
      <c r="H88" s="4">
        <v>12000</v>
      </c>
      <c r="I88" s="1">
        <f t="shared" si="1"/>
        <v>4000</v>
      </c>
    </row>
    <row r="89" spans="1:9" x14ac:dyDescent="0.25">
      <c r="A89" s="2" t="s">
        <v>93</v>
      </c>
      <c r="B89" s="3" t="s">
        <v>43</v>
      </c>
      <c r="C89" s="3" t="s">
        <v>12</v>
      </c>
      <c r="D89" s="3" t="s">
        <v>34</v>
      </c>
      <c r="E89" s="3">
        <v>18</v>
      </c>
      <c r="F89" s="4">
        <v>6500</v>
      </c>
      <c r="G89" s="4">
        <v>3500</v>
      </c>
      <c r="H89" s="4">
        <v>117000</v>
      </c>
      <c r="I89" s="1">
        <f t="shared" si="1"/>
        <v>54000</v>
      </c>
    </row>
    <row r="90" spans="1:9" x14ac:dyDescent="0.25">
      <c r="A90" s="2" t="s">
        <v>94</v>
      </c>
      <c r="B90" s="3" t="s">
        <v>49</v>
      </c>
      <c r="C90" s="3" t="s">
        <v>12</v>
      </c>
      <c r="D90" s="3" t="s">
        <v>10</v>
      </c>
      <c r="E90" s="3">
        <v>6</v>
      </c>
      <c r="F90" s="4">
        <v>18000</v>
      </c>
      <c r="G90" s="4">
        <v>12000</v>
      </c>
      <c r="H90" s="4">
        <v>108000</v>
      </c>
      <c r="I90" s="1">
        <f t="shared" si="1"/>
        <v>36000</v>
      </c>
    </row>
    <row r="91" spans="1:9" x14ac:dyDescent="0.25">
      <c r="A91" s="2" t="s">
        <v>95</v>
      </c>
      <c r="B91" s="3" t="s">
        <v>22</v>
      </c>
      <c r="C91" s="3" t="s">
        <v>31</v>
      </c>
      <c r="D91" s="3" t="s">
        <v>32</v>
      </c>
      <c r="E91" s="3">
        <v>2</v>
      </c>
      <c r="F91" s="4">
        <v>45000</v>
      </c>
      <c r="G91" s="4">
        <v>32000</v>
      </c>
      <c r="H91" s="4">
        <v>90000</v>
      </c>
      <c r="I91" s="1">
        <f t="shared" si="1"/>
        <v>26000</v>
      </c>
    </row>
    <row r="92" spans="1:9" x14ac:dyDescent="0.25">
      <c r="A92" s="2" t="s">
        <v>96</v>
      </c>
      <c r="B92" s="3" t="s">
        <v>39</v>
      </c>
      <c r="C92" s="3" t="s">
        <v>9</v>
      </c>
      <c r="D92" s="3" t="s">
        <v>24</v>
      </c>
      <c r="E92" s="3">
        <v>1</v>
      </c>
      <c r="F92" s="4">
        <v>9500</v>
      </c>
      <c r="G92" s="4">
        <v>6500</v>
      </c>
      <c r="H92" s="4">
        <v>9500</v>
      </c>
      <c r="I92" s="1">
        <f t="shared" si="1"/>
        <v>3000</v>
      </c>
    </row>
    <row r="93" spans="1:9" x14ac:dyDescent="0.25">
      <c r="A93" s="2" t="s">
        <v>97</v>
      </c>
      <c r="B93" s="3" t="s">
        <v>8</v>
      </c>
      <c r="C93" s="3" t="s">
        <v>15</v>
      </c>
      <c r="D93" s="3" t="s">
        <v>24</v>
      </c>
      <c r="E93" s="3">
        <v>1</v>
      </c>
      <c r="F93" s="4">
        <v>9500</v>
      </c>
      <c r="G93" s="4">
        <v>6500</v>
      </c>
      <c r="H93" s="4">
        <v>9500</v>
      </c>
      <c r="I93" s="1">
        <f t="shared" si="1"/>
        <v>3000</v>
      </c>
    </row>
    <row r="94" spans="1:9" x14ac:dyDescent="0.25">
      <c r="A94" s="2" t="s">
        <v>98</v>
      </c>
      <c r="B94" s="3" t="s">
        <v>39</v>
      </c>
      <c r="C94" s="3" t="s">
        <v>15</v>
      </c>
      <c r="D94" s="3" t="s">
        <v>13</v>
      </c>
      <c r="E94" s="3">
        <v>9</v>
      </c>
      <c r="F94" s="4">
        <v>2500</v>
      </c>
      <c r="G94" s="4">
        <v>1200</v>
      </c>
      <c r="H94" s="4">
        <v>22500</v>
      </c>
      <c r="I94" s="1">
        <f t="shared" si="1"/>
        <v>11700</v>
      </c>
    </row>
    <row r="95" spans="1:9" x14ac:dyDescent="0.25">
      <c r="A95" s="2" t="s">
        <v>98</v>
      </c>
      <c r="B95" s="3" t="s">
        <v>19</v>
      </c>
      <c r="C95" s="3" t="s">
        <v>9</v>
      </c>
      <c r="D95" s="3" t="s">
        <v>36</v>
      </c>
      <c r="E95" s="3">
        <v>1</v>
      </c>
      <c r="F95" s="4">
        <v>1800</v>
      </c>
      <c r="G95" s="4">
        <v>900</v>
      </c>
      <c r="H95" s="4">
        <v>1800</v>
      </c>
      <c r="I95" s="1">
        <f t="shared" si="1"/>
        <v>900</v>
      </c>
    </row>
    <row r="96" spans="1:9" x14ac:dyDescent="0.25">
      <c r="A96" s="2" t="s">
        <v>99</v>
      </c>
      <c r="B96" s="3" t="s">
        <v>19</v>
      </c>
      <c r="C96" s="3" t="s">
        <v>31</v>
      </c>
      <c r="D96" s="3" t="s">
        <v>32</v>
      </c>
      <c r="E96" s="3">
        <v>8</v>
      </c>
      <c r="F96" s="4">
        <v>45000</v>
      </c>
      <c r="G96" s="4">
        <v>32000</v>
      </c>
      <c r="H96" s="4">
        <v>360000</v>
      </c>
      <c r="I96" s="1">
        <f t="shared" si="1"/>
        <v>104000</v>
      </c>
    </row>
    <row r="97" spans="1:9" x14ac:dyDescent="0.25">
      <c r="A97" s="2" t="s">
        <v>100</v>
      </c>
      <c r="B97" s="3" t="s">
        <v>27</v>
      </c>
      <c r="C97" s="3" t="s">
        <v>9</v>
      </c>
      <c r="D97" s="3" t="s">
        <v>13</v>
      </c>
      <c r="E97" s="3">
        <v>8</v>
      </c>
      <c r="F97" s="4">
        <v>2500</v>
      </c>
      <c r="G97" s="4">
        <v>1200</v>
      </c>
      <c r="H97" s="4">
        <v>20000</v>
      </c>
      <c r="I97" s="1">
        <f t="shared" si="1"/>
        <v>10400</v>
      </c>
    </row>
    <row r="98" spans="1:9" x14ac:dyDescent="0.25">
      <c r="A98" s="2" t="s">
        <v>101</v>
      </c>
      <c r="B98" s="3" t="s">
        <v>8</v>
      </c>
      <c r="C98" s="3" t="s">
        <v>15</v>
      </c>
      <c r="D98" s="3" t="s">
        <v>24</v>
      </c>
      <c r="E98" s="3">
        <v>7</v>
      </c>
      <c r="F98" s="4">
        <v>9500</v>
      </c>
      <c r="G98" s="4">
        <v>6500</v>
      </c>
      <c r="H98" s="4">
        <v>66500</v>
      </c>
      <c r="I98" s="1">
        <f t="shared" si="1"/>
        <v>21000</v>
      </c>
    </row>
    <row r="99" spans="1:9" x14ac:dyDescent="0.25">
      <c r="A99" s="2" t="s">
        <v>102</v>
      </c>
      <c r="B99" s="3" t="s">
        <v>23</v>
      </c>
      <c r="C99" s="3" t="s">
        <v>5</v>
      </c>
      <c r="D99" s="3" t="s">
        <v>36</v>
      </c>
      <c r="E99" s="3">
        <v>16</v>
      </c>
      <c r="F99" s="4">
        <v>1800</v>
      </c>
      <c r="G99" s="4">
        <v>900</v>
      </c>
      <c r="H99" s="4">
        <v>28800</v>
      </c>
      <c r="I99" s="1">
        <f t="shared" si="1"/>
        <v>14400</v>
      </c>
    </row>
    <row r="100" spans="1:9" x14ac:dyDescent="0.25">
      <c r="A100" s="2" t="s">
        <v>103</v>
      </c>
      <c r="B100" s="3" t="s">
        <v>49</v>
      </c>
      <c r="C100" s="3" t="s">
        <v>9</v>
      </c>
      <c r="D100" s="3" t="s">
        <v>24</v>
      </c>
      <c r="E100" s="3">
        <v>6</v>
      </c>
      <c r="F100" s="4">
        <v>9500</v>
      </c>
      <c r="G100" s="4">
        <v>6500</v>
      </c>
      <c r="H100" s="4">
        <v>57000</v>
      </c>
      <c r="I100" s="1">
        <f t="shared" si="1"/>
        <v>18000</v>
      </c>
    </row>
    <row r="101" spans="1:9" x14ac:dyDescent="0.25">
      <c r="A101" s="2" t="s">
        <v>103</v>
      </c>
      <c r="B101" s="3" t="s">
        <v>27</v>
      </c>
      <c r="C101" s="3" t="s">
        <v>9</v>
      </c>
      <c r="D101" s="3" t="s">
        <v>10</v>
      </c>
      <c r="E101" s="3">
        <v>12</v>
      </c>
      <c r="F101" s="4">
        <v>18000</v>
      </c>
      <c r="G101" s="4">
        <v>12000</v>
      </c>
      <c r="H101" s="4">
        <v>216000</v>
      </c>
      <c r="I101" s="1">
        <f t="shared" si="1"/>
        <v>72000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9271B2C615864681FF9CE648538A51" ma:contentTypeVersion="4" ma:contentTypeDescription="Create a new document." ma:contentTypeScope="" ma:versionID="182ae0dcd882eb982dab3ec7ed6cec06">
  <xsd:schema xmlns:xsd="http://www.w3.org/2001/XMLSchema" xmlns:xs="http://www.w3.org/2001/XMLSchema" xmlns:p="http://schemas.microsoft.com/office/2006/metadata/properties" xmlns:ns3="cf2f4915-10c7-4009-8a2f-908b6dfc170b" targetNamespace="http://schemas.microsoft.com/office/2006/metadata/properties" ma:root="true" ma:fieldsID="7a9399bb7bf0e8d5f657dc3de6d977b7" ns3:_="">
    <xsd:import namespace="cf2f4915-10c7-4009-8a2f-908b6dfc170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2f4915-10c7-4009-8a2f-908b6dfc170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637EE93-8A6C-44EF-9867-0F082AE8A2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2f4915-10c7-4009-8a2f-908b6dfc17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0165CB6-77DA-41B1-9B95-B9944644C211}">
  <ds:schemaRefs>
    <ds:schemaRef ds:uri="http://schemas.microsoft.com/sharepoint/v3/contenttype/forms"/>
  </ds:schemaRefs>
</ds:datastoreItem>
</file>

<file path=customXml/itemProps3.xml><?xml version="1.0" encoding="utf-8"?>
<ds:datastoreItem xmlns:ds="http://schemas.openxmlformats.org/officeDocument/2006/customXml" ds:itemID="{53C0727B-CE18-4850-B1DA-43176D56B780}">
  <ds:schemaRefs>
    <ds:schemaRef ds:uri="http://schemas.microsoft.com/office/infopath/2007/PartnerControls"/>
    <ds:schemaRef ds:uri="http://purl.org/dc/terms/"/>
    <ds:schemaRef ds:uri="http://schemas.microsoft.com/office/2006/metadata/properties"/>
    <ds:schemaRef ds:uri="http://www.w3.org/XML/1998/namespace"/>
    <ds:schemaRef ds:uri="http://purl.org/dc/dcmitype/"/>
    <ds:schemaRef ds:uri="http://schemas.microsoft.com/office/2006/documentManagement/types"/>
    <ds:schemaRef ds:uri="http://purl.org/dc/elements/1.1/"/>
    <ds:schemaRef ds:uri="http://schemas.openxmlformats.org/package/2006/metadata/core-properties"/>
    <ds:schemaRef ds:uri="cf2f4915-10c7-4009-8a2f-908b6dfc17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Table Analysis</vt:lpstr>
      <vt:lpstr>Sheet3</vt:lpstr>
      <vt:lpstr>Sheet4</vt:lpstr>
      <vt:lpstr>Sheet5</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S0311931</dc:creator>
  <cp:lastModifiedBy>S0311931</cp:lastModifiedBy>
  <dcterms:created xsi:type="dcterms:W3CDTF">2026-10-28T06:12:21Z</dcterms:created>
  <dcterms:modified xsi:type="dcterms:W3CDTF">2026-10-30T10:24:41Z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0x010100B89271B2C615864681FF9CE648538A51</vt:lpwstr>
  </property>
</Properties>
</file>